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LOOMS" sheetId="1" r:id="rId1"/>
    <sheet name="TWIST" sheetId="2" r:id="rId2"/>
    <sheet name="IGNORE" sheetId="3" r:id="rId3"/>
  </sheets>
  <calcPr calcId="125725"/>
</workbook>
</file>

<file path=xl/calcChain.xml><?xml version="1.0" encoding="utf-8"?>
<calcChain xmlns="http://schemas.openxmlformats.org/spreadsheetml/2006/main">
  <c r="H5" i="2"/>
  <c r="H26" l="1"/>
  <c r="K23" l="1"/>
  <c r="K22"/>
  <c r="H23"/>
  <c r="H22"/>
  <c r="K11"/>
  <c r="K19"/>
  <c r="H2"/>
  <c r="K3"/>
  <c r="K2"/>
  <c r="H3"/>
  <c r="H19"/>
  <c r="H16"/>
  <c r="H15"/>
  <c r="H13"/>
  <c r="H11"/>
  <c r="H9"/>
  <c r="H8"/>
</calcChain>
</file>

<file path=xl/sharedStrings.xml><?xml version="1.0" encoding="utf-8"?>
<sst xmlns="http://schemas.openxmlformats.org/spreadsheetml/2006/main" count="104" uniqueCount="52">
  <si>
    <t>#</t>
  </si>
  <si>
    <t>Quality</t>
  </si>
  <si>
    <t>Quality Pick</t>
  </si>
  <si>
    <t>FLUTE</t>
  </si>
  <si>
    <t>BETA</t>
  </si>
  <si>
    <t>CRUNCHY</t>
  </si>
  <si>
    <t>PURE GOLD</t>
  </si>
  <si>
    <t>SUNSHINE</t>
  </si>
  <si>
    <t>VAARI CHIFFON</t>
  </si>
  <si>
    <t>TESLA SEQ</t>
  </si>
  <si>
    <t>Warp Pagar</t>
  </si>
  <si>
    <t>Pasar Pagar</t>
  </si>
  <si>
    <t>Mending Pagar</t>
  </si>
  <si>
    <t>YARN</t>
  </si>
  <si>
    <t>TPM</t>
  </si>
  <si>
    <t>20/1 MONO GOLD</t>
  </si>
  <si>
    <t>30/14 SD POLY</t>
  </si>
  <si>
    <t>30/06 BRT POLY</t>
  </si>
  <si>
    <t>20/1 MONO TEX</t>
  </si>
  <si>
    <t>DENIER</t>
  </si>
  <si>
    <t>55/12 SPARKLE SIZE</t>
  </si>
  <si>
    <t>TFO PAGAR</t>
  </si>
  <si>
    <t>ELEC (TFO)</t>
  </si>
  <si>
    <t>RPM</t>
  </si>
  <si>
    <t>YARN CONSUMPTION</t>
  </si>
  <si>
    <t>OUTPUT(KG)/DAY/TFO</t>
  </si>
  <si>
    <t>ELEC COST/DAY/TFO</t>
  </si>
  <si>
    <t>TFO PAGAR/DAY/TFO</t>
  </si>
  <si>
    <t>20/1 MONO BRT (S)</t>
  </si>
  <si>
    <t>50/24 SD CATONIC</t>
  </si>
  <si>
    <t>POLYESTER SEQUENCE</t>
  </si>
  <si>
    <t>JARI KASAB</t>
  </si>
  <si>
    <t>SELLLING RATE</t>
  </si>
  <si>
    <t>SUFI</t>
  </si>
  <si>
    <t>REED</t>
  </si>
  <si>
    <t>PICK</t>
  </si>
  <si>
    <t>PASAR</t>
  </si>
  <si>
    <t>PLAIN</t>
  </si>
  <si>
    <t>TWILL SATIN</t>
  </si>
  <si>
    <t>MOSS</t>
  </si>
  <si>
    <t>SATIN</t>
  </si>
  <si>
    <t>BORDER</t>
  </si>
  <si>
    <t>48*6</t>
  </si>
  <si>
    <t>60*6</t>
  </si>
  <si>
    <t>56*6</t>
  </si>
  <si>
    <t>20/1 SD NYLON MONO</t>
  </si>
  <si>
    <t>20/1 MONO GOLD TEX</t>
  </si>
  <si>
    <t>TANERIA</t>
  </si>
  <si>
    <t>PURE JARI</t>
  </si>
  <si>
    <t>185 GIRAFFE</t>
  </si>
  <si>
    <t>NC SATIN</t>
  </si>
  <si>
    <t>20/1 BRT NYLON MONO BEAM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</si>
</sst>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activeCell="C12" sqref="C12"/>
    </sheetView>
  </sheetViews>
  <sheetFormatPr defaultRowHeight="15"/>
  <cols>
    <col min="2" max="2" width="15" bestFit="1" customWidth="1"/>
    <col min="3" max="3" width="11.42578125" bestFit="1" customWidth="1"/>
    <col min="4" max="5" width="11.42578125" customWidth="1"/>
    <col min="6" max="7" width="11" bestFit="1" customWidth="1"/>
    <col min="8" max="8" width="14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10</v>
      </c>
      <c r="G1" t="s">
        <v>11</v>
      </c>
      <c r="H1" t="s">
        <v>12</v>
      </c>
      <c r="J1" t="s">
        <v>32</v>
      </c>
    </row>
    <row r="2" spans="1:10">
      <c r="A2">
        <v>1</v>
      </c>
      <c r="B2" t="s">
        <v>3</v>
      </c>
      <c r="C2">
        <v>88</v>
      </c>
      <c r="D2">
        <v>68000</v>
      </c>
      <c r="E2">
        <v>312000</v>
      </c>
      <c r="F2" s="1">
        <v>0.28000000000000003</v>
      </c>
      <c r="G2" s="1">
        <v>0.2</v>
      </c>
      <c r="H2" s="1">
        <v>0.2</v>
      </c>
      <c r="J2" s="1">
        <v>28</v>
      </c>
    </row>
    <row r="3" spans="1:10">
      <c r="A3">
        <v>2</v>
      </c>
      <c r="B3" t="s">
        <v>4</v>
      </c>
      <c r="C3">
        <v>80</v>
      </c>
      <c r="D3">
        <v>55000</v>
      </c>
      <c r="E3">
        <v>245000</v>
      </c>
      <c r="F3" s="1">
        <v>0.28000000000000003</v>
      </c>
      <c r="G3" s="1">
        <v>0.2</v>
      </c>
      <c r="H3" s="1">
        <v>0.2</v>
      </c>
      <c r="J3" s="1">
        <v>27</v>
      </c>
    </row>
    <row r="4" spans="1:10">
      <c r="A4">
        <v>3</v>
      </c>
      <c r="B4" t="s">
        <v>5</v>
      </c>
      <c r="C4">
        <v>70</v>
      </c>
      <c r="D4">
        <v>86000</v>
      </c>
      <c r="E4">
        <v>400000</v>
      </c>
      <c r="F4" s="1">
        <v>0.28000000000000003</v>
      </c>
      <c r="G4" s="1">
        <v>0.2</v>
      </c>
      <c r="H4" s="1">
        <v>0.2</v>
      </c>
      <c r="J4" s="1">
        <v>22</v>
      </c>
    </row>
    <row r="5" spans="1:10">
      <c r="A5">
        <v>4</v>
      </c>
      <c r="B5" t="s">
        <v>6</v>
      </c>
      <c r="C5">
        <v>104</v>
      </c>
      <c r="D5">
        <v>45000</v>
      </c>
      <c r="E5">
        <v>212000</v>
      </c>
      <c r="F5" s="1">
        <v>0.28000000000000003</v>
      </c>
      <c r="G5" s="1">
        <v>0.3</v>
      </c>
      <c r="H5" s="1">
        <v>0.2</v>
      </c>
      <c r="J5" s="1">
        <v>34</v>
      </c>
    </row>
    <row r="6" spans="1:10">
      <c r="A6">
        <v>5</v>
      </c>
      <c r="B6" t="s">
        <v>47</v>
      </c>
      <c r="C6">
        <v>70</v>
      </c>
      <c r="D6">
        <v>50000</v>
      </c>
      <c r="E6">
        <v>232000</v>
      </c>
      <c r="F6" s="1">
        <v>0.28000000000000003</v>
      </c>
      <c r="G6" s="1">
        <v>0.2</v>
      </c>
      <c r="H6" s="1">
        <v>0.2</v>
      </c>
      <c r="J6" s="1">
        <v>38</v>
      </c>
    </row>
    <row r="7" spans="1:10">
      <c r="A7">
        <v>6</v>
      </c>
      <c r="B7" t="s">
        <v>8</v>
      </c>
      <c r="C7">
        <v>88</v>
      </c>
      <c r="D7">
        <v>96000</v>
      </c>
      <c r="E7">
        <v>444000</v>
      </c>
      <c r="F7" s="1">
        <v>0.28000000000000003</v>
      </c>
      <c r="G7" s="1">
        <v>0.2</v>
      </c>
      <c r="H7" s="1">
        <v>0.2</v>
      </c>
      <c r="J7" s="1">
        <v>31</v>
      </c>
    </row>
    <row r="8" spans="1:10">
      <c r="A8">
        <v>7</v>
      </c>
      <c r="B8" t="s">
        <v>9</v>
      </c>
      <c r="C8">
        <v>72</v>
      </c>
      <c r="D8">
        <v>40000</v>
      </c>
      <c r="E8">
        <v>180000</v>
      </c>
      <c r="F8" s="1">
        <v>0</v>
      </c>
      <c r="G8" s="1">
        <v>0.3</v>
      </c>
      <c r="H8" s="1">
        <v>0.2</v>
      </c>
      <c r="J8" s="1">
        <v>38</v>
      </c>
    </row>
    <row r="9" spans="1:10">
      <c r="A9">
        <v>8</v>
      </c>
      <c r="B9" t="s">
        <v>33</v>
      </c>
      <c r="C9">
        <v>114</v>
      </c>
      <c r="D9">
        <v>0</v>
      </c>
      <c r="E9">
        <v>0</v>
      </c>
      <c r="F9" s="1">
        <v>0.28000000000000003</v>
      </c>
      <c r="G9" s="1">
        <v>0.2</v>
      </c>
      <c r="H9" s="1">
        <v>0.2</v>
      </c>
      <c r="J9" s="1">
        <v>42</v>
      </c>
    </row>
    <row r="10" spans="1:10">
      <c r="A10">
        <v>9</v>
      </c>
      <c r="B10" t="s">
        <v>48</v>
      </c>
      <c r="C10">
        <v>74</v>
      </c>
    </row>
    <row r="11" spans="1:10">
      <c r="A11">
        <v>10</v>
      </c>
      <c r="B11" t="s">
        <v>50</v>
      </c>
      <c r="C11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selection activeCell="H5" sqref="H5"/>
    </sheetView>
  </sheetViews>
  <sheetFormatPr defaultRowHeight="15"/>
  <cols>
    <col min="2" max="2" width="15" bestFit="1" customWidth="1"/>
    <col min="3" max="3" width="20.5703125" bestFit="1" customWidth="1"/>
    <col min="4" max="4" width="16.7109375" style="1" customWidth="1"/>
    <col min="8" max="8" width="12" style="1" bestFit="1" customWidth="1"/>
    <col min="9" max="9" width="10" customWidth="1"/>
    <col min="10" max="10" width="8.5703125" customWidth="1"/>
  </cols>
  <sheetData>
    <row r="1" spans="1:11" ht="45" customHeight="1">
      <c r="A1" s="3" t="s">
        <v>0</v>
      </c>
      <c r="B1" s="3" t="s">
        <v>1</v>
      </c>
      <c r="C1" s="3" t="s">
        <v>13</v>
      </c>
      <c r="D1" s="7" t="s">
        <v>24</v>
      </c>
      <c r="E1" s="3" t="s">
        <v>19</v>
      </c>
      <c r="F1" s="3" t="s">
        <v>14</v>
      </c>
      <c r="G1" s="3" t="s">
        <v>23</v>
      </c>
      <c r="H1" s="4" t="s">
        <v>25</v>
      </c>
      <c r="I1" s="3" t="s">
        <v>26</v>
      </c>
      <c r="J1" s="3" t="s">
        <v>27</v>
      </c>
    </row>
    <row r="2" spans="1:11">
      <c r="A2">
        <v>1</v>
      </c>
      <c r="B2" t="s">
        <v>3</v>
      </c>
      <c r="C2" s="2" t="s">
        <v>17</v>
      </c>
      <c r="D2" s="1">
        <v>2.44</v>
      </c>
      <c r="E2">
        <v>30</v>
      </c>
      <c r="F2">
        <v>1400</v>
      </c>
      <c r="G2">
        <v>9000</v>
      </c>
      <c r="H2" s="1">
        <f>((G2*2*E2/F2)/9000)*(60*24*576*0.9/1000)</f>
        <v>31.992685714285713</v>
      </c>
      <c r="I2">
        <v>1000</v>
      </c>
      <c r="J2">
        <v>240</v>
      </c>
      <c r="K2">
        <f>(I2+J2)/H2*D2/100</f>
        <v>0.9457161636945588</v>
      </c>
    </row>
    <row r="3" spans="1:11">
      <c r="A3">
        <v>1</v>
      </c>
      <c r="B3" t="s">
        <v>3</v>
      </c>
      <c r="C3" s="2" t="s">
        <v>17</v>
      </c>
      <c r="D3" s="1">
        <v>1.06</v>
      </c>
      <c r="E3">
        <v>30</v>
      </c>
      <c r="F3">
        <v>3000</v>
      </c>
      <c r="G3">
        <v>10000</v>
      </c>
      <c r="H3" s="1">
        <f>((G3*2*E3/F3)/9000)*(60*24*576*0.9/1000)</f>
        <v>16.588799999999999</v>
      </c>
      <c r="I3">
        <v>1000</v>
      </c>
      <c r="J3">
        <v>240</v>
      </c>
      <c r="K3">
        <f>(I3+J3)/H3*D3/100</f>
        <v>0.79234182098765449</v>
      </c>
    </row>
    <row r="4" spans="1:11">
      <c r="A4">
        <v>1</v>
      </c>
      <c r="B4" t="s">
        <v>3</v>
      </c>
      <c r="C4" s="5" t="s">
        <v>15</v>
      </c>
      <c r="D4" s="1">
        <v>0.63</v>
      </c>
      <c r="E4">
        <v>20</v>
      </c>
      <c r="I4">
        <v>1000</v>
      </c>
      <c r="J4">
        <v>240</v>
      </c>
    </row>
    <row r="5" spans="1:11">
      <c r="A5">
        <v>2</v>
      </c>
      <c r="B5" t="s">
        <v>4</v>
      </c>
      <c r="C5" s="2" t="s">
        <v>16</v>
      </c>
      <c r="D5" s="1">
        <v>2.2000000000000002</v>
      </c>
      <c r="E5">
        <v>30</v>
      </c>
      <c r="F5">
        <v>2600</v>
      </c>
      <c r="G5">
        <v>10000</v>
      </c>
      <c r="H5" s="1">
        <f>((G5*2*E5/F5)/9000)*(60*24*576*0.9/1000)</f>
        <v>19.140923076923077</v>
      </c>
      <c r="I5">
        <v>1000</v>
      </c>
      <c r="J5">
        <v>240</v>
      </c>
    </row>
    <row r="6" spans="1:11">
      <c r="A6">
        <v>2</v>
      </c>
      <c r="B6" t="s">
        <v>4</v>
      </c>
      <c r="C6" s="5" t="s">
        <v>15</v>
      </c>
      <c r="D6" s="1">
        <v>0.55000000000000004</v>
      </c>
      <c r="E6">
        <v>20</v>
      </c>
      <c r="I6">
        <v>1000</v>
      </c>
      <c r="J6">
        <v>240</v>
      </c>
    </row>
    <row r="7" spans="1:11">
      <c r="A7">
        <v>2</v>
      </c>
      <c r="B7" t="s">
        <v>4</v>
      </c>
      <c r="C7" s="2" t="s">
        <v>18</v>
      </c>
      <c r="D7" s="1">
        <v>0.55000000000000004</v>
      </c>
      <c r="E7">
        <v>20</v>
      </c>
      <c r="I7">
        <v>1000</v>
      </c>
      <c r="J7">
        <v>240</v>
      </c>
    </row>
    <row r="8" spans="1:11">
      <c r="A8">
        <v>3</v>
      </c>
      <c r="B8" t="s">
        <v>5</v>
      </c>
      <c r="C8" s="5" t="s">
        <v>29</v>
      </c>
      <c r="D8" s="1">
        <v>3.43</v>
      </c>
      <c r="E8">
        <v>50</v>
      </c>
      <c r="F8">
        <v>1400</v>
      </c>
      <c r="G8">
        <v>9000</v>
      </c>
      <c r="H8" s="1">
        <f>((G8*2*E8/F8)/9000)*(60*24*576*0.9/1000)</f>
        <v>53.32114285714286</v>
      </c>
      <c r="I8">
        <v>1000</v>
      </c>
      <c r="J8">
        <v>240</v>
      </c>
    </row>
    <row r="9" spans="1:11">
      <c r="A9">
        <v>3</v>
      </c>
      <c r="B9" t="s">
        <v>5</v>
      </c>
      <c r="C9" s="5" t="s">
        <v>29</v>
      </c>
      <c r="D9" s="1">
        <v>2.68</v>
      </c>
      <c r="E9">
        <v>50</v>
      </c>
      <c r="F9">
        <v>2750</v>
      </c>
      <c r="G9">
        <v>10000</v>
      </c>
      <c r="H9" s="1">
        <f>((G9*2*E9/F9)/9000)*(60*24*576*0.9/1000)</f>
        <v>30.161454545454543</v>
      </c>
      <c r="I9">
        <v>1000</v>
      </c>
      <c r="J9">
        <v>240</v>
      </c>
    </row>
    <row r="10" spans="1:11">
      <c r="A10">
        <v>3</v>
      </c>
      <c r="B10" t="s">
        <v>5</v>
      </c>
      <c r="C10" s="5" t="s">
        <v>28</v>
      </c>
      <c r="D10" s="1">
        <v>0.97</v>
      </c>
      <c r="E10">
        <v>20</v>
      </c>
      <c r="I10">
        <v>1000</v>
      </c>
      <c r="J10">
        <v>240</v>
      </c>
    </row>
    <row r="11" spans="1:11">
      <c r="A11">
        <v>4</v>
      </c>
      <c r="B11" t="s">
        <v>6</v>
      </c>
      <c r="C11" s="2" t="s">
        <v>16</v>
      </c>
      <c r="D11" s="1">
        <v>2.67</v>
      </c>
      <c r="E11">
        <v>30</v>
      </c>
      <c r="F11">
        <v>2600</v>
      </c>
      <c r="G11">
        <v>10000</v>
      </c>
      <c r="H11" s="1">
        <f>((G11*2*E11/F11)/9000)*(60*24*576*0.9/1000)</f>
        <v>19.140923076923077</v>
      </c>
      <c r="I11">
        <v>1000</v>
      </c>
      <c r="J11">
        <v>240</v>
      </c>
      <c r="K11">
        <f t="shared" ref="K11" si="0">(I11+J11)/H11*D11/100</f>
        <v>1.7296971450617284</v>
      </c>
    </row>
    <row r="12" spans="1:11">
      <c r="A12">
        <v>4</v>
      </c>
      <c r="B12" t="s">
        <v>6</v>
      </c>
      <c r="C12" s="5" t="s">
        <v>15</v>
      </c>
      <c r="D12" s="1">
        <v>1.49</v>
      </c>
      <c r="E12">
        <v>20</v>
      </c>
      <c r="I12">
        <v>1000</v>
      </c>
      <c r="J12">
        <v>240</v>
      </c>
    </row>
    <row r="13" spans="1:11">
      <c r="A13">
        <v>5</v>
      </c>
      <c r="B13" t="s">
        <v>47</v>
      </c>
      <c r="C13" s="2" t="s">
        <v>17</v>
      </c>
      <c r="D13" s="1">
        <v>2.3199999999999998</v>
      </c>
      <c r="E13">
        <v>30</v>
      </c>
      <c r="F13">
        <v>1400</v>
      </c>
      <c r="G13">
        <v>9000</v>
      </c>
      <c r="H13" s="1">
        <f>((G13*2*E13/F13)/9000)*(60*24*576*0.9/1000)</f>
        <v>31.992685714285713</v>
      </c>
      <c r="I13">
        <v>1000</v>
      </c>
      <c r="J13">
        <v>240</v>
      </c>
    </row>
    <row r="14" spans="1:11">
      <c r="A14">
        <v>5</v>
      </c>
      <c r="B14" t="s">
        <v>47</v>
      </c>
      <c r="C14" s="2" t="s">
        <v>31</v>
      </c>
      <c r="D14" s="1">
        <v>4.25</v>
      </c>
      <c r="E14">
        <v>150</v>
      </c>
      <c r="I14">
        <v>1000</v>
      </c>
      <c r="J14">
        <v>240</v>
      </c>
    </row>
    <row r="15" spans="1:11">
      <c r="A15">
        <v>6</v>
      </c>
      <c r="B15" t="s">
        <v>8</v>
      </c>
      <c r="C15" s="2" t="s">
        <v>17</v>
      </c>
      <c r="D15" s="1">
        <v>2.44</v>
      </c>
      <c r="E15">
        <v>30</v>
      </c>
      <c r="F15">
        <v>1400</v>
      </c>
      <c r="G15">
        <v>9000</v>
      </c>
      <c r="H15" s="1">
        <f>((G15*2*E15/F15)/9000)*(60*24*576*0.9/1000)</f>
        <v>31.992685714285713</v>
      </c>
      <c r="I15">
        <v>1000</v>
      </c>
      <c r="J15">
        <v>240</v>
      </c>
    </row>
    <row r="16" spans="1:11">
      <c r="A16">
        <v>6</v>
      </c>
      <c r="B16" t="s">
        <v>8</v>
      </c>
      <c r="C16" s="2" t="s">
        <v>17</v>
      </c>
      <c r="D16" s="1">
        <v>2.13</v>
      </c>
      <c r="E16">
        <v>30</v>
      </c>
      <c r="F16">
        <v>3000</v>
      </c>
      <c r="G16">
        <v>10000</v>
      </c>
      <c r="H16" s="1">
        <f>((G16*2*E16/F16)/9000)*(60*24*576*0.9/1000)</f>
        <v>16.588799999999999</v>
      </c>
      <c r="I16">
        <v>1000</v>
      </c>
      <c r="J16">
        <v>240</v>
      </c>
    </row>
    <row r="17" spans="1:11">
      <c r="A17">
        <v>7</v>
      </c>
      <c r="B17" t="s">
        <v>9</v>
      </c>
      <c r="C17" t="s">
        <v>20</v>
      </c>
      <c r="D17" s="1">
        <v>4.84</v>
      </c>
      <c r="E17">
        <v>55</v>
      </c>
      <c r="I17">
        <v>1000</v>
      </c>
      <c r="J17">
        <v>240</v>
      </c>
    </row>
    <row r="18" spans="1:11">
      <c r="A18">
        <v>7</v>
      </c>
      <c r="B18" t="s">
        <v>9</v>
      </c>
      <c r="C18" s="5" t="s">
        <v>30</v>
      </c>
      <c r="D18" s="1">
        <v>0.41</v>
      </c>
      <c r="E18">
        <v>1800</v>
      </c>
      <c r="I18">
        <v>1000</v>
      </c>
      <c r="J18">
        <v>240</v>
      </c>
    </row>
    <row r="19" spans="1:11">
      <c r="A19">
        <v>7</v>
      </c>
      <c r="B19" t="s">
        <v>9</v>
      </c>
      <c r="C19" s="5" t="s">
        <v>29</v>
      </c>
      <c r="D19" s="1">
        <v>2.92</v>
      </c>
      <c r="E19">
        <v>50</v>
      </c>
      <c r="F19">
        <v>2750</v>
      </c>
      <c r="G19">
        <v>10000</v>
      </c>
      <c r="H19" s="1">
        <f>((G19*2*E19/F19)/9000)*(60*24*576*0.9/1000)</f>
        <v>30.161454545454543</v>
      </c>
      <c r="I19">
        <v>1000</v>
      </c>
      <c r="J19">
        <v>240</v>
      </c>
      <c r="K19">
        <f>(I19+J19)/H19*D19/100</f>
        <v>1.2004726080246915</v>
      </c>
    </row>
    <row r="20" spans="1:11">
      <c r="A20">
        <v>8</v>
      </c>
      <c r="B20" t="s">
        <v>33</v>
      </c>
      <c r="C20" s="5" t="s">
        <v>45</v>
      </c>
      <c r="D20" s="1">
        <v>1.96</v>
      </c>
      <c r="E20">
        <v>20</v>
      </c>
      <c r="I20">
        <v>0</v>
      </c>
    </row>
    <row r="21" spans="1:11">
      <c r="A21">
        <v>8</v>
      </c>
      <c r="B21" t="s">
        <v>33</v>
      </c>
      <c r="C21" s="6" t="s">
        <v>46</v>
      </c>
      <c r="D21" s="1">
        <v>1.84</v>
      </c>
      <c r="E21">
        <v>21</v>
      </c>
      <c r="I21">
        <v>0</v>
      </c>
    </row>
    <row r="22" spans="1:11">
      <c r="A22">
        <v>9</v>
      </c>
      <c r="B22" t="s">
        <v>48</v>
      </c>
      <c r="C22" s="6" t="s">
        <v>16</v>
      </c>
      <c r="D22" s="1">
        <v>2.5299999999999998</v>
      </c>
      <c r="E22">
        <v>30</v>
      </c>
      <c r="F22">
        <v>2600</v>
      </c>
      <c r="G22">
        <v>9000</v>
      </c>
      <c r="H22" s="1">
        <f>((G22*2*E22/F22)/9000)*(60*24*576*0.9/1000)</f>
        <v>17.226830769230766</v>
      </c>
      <c r="I22">
        <v>1000</v>
      </c>
      <c r="J22">
        <v>240</v>
      </c>
      <c r="K22">
        <f>(I22+J22)/H22*D22/100</f>
        <v>1.8211126828989486</v>
      </c>
    </row>
    <row r="23" spans="1:11">
      <c r="A23">
        <v>9</v>
      </c>
      <c r="B23" t="s">
        <v>48</v>
      </c>
      <c r="C23" s="6" t="s">
        <v>16</v>
      </c>
      <c r="D23" s="1">
        <v>0.78</v>
      </c>
      <c r="E23">
        <v>30</v>
      </c>
      <c r="F23">
        <v>2600</v>
      </c>
      <c r="G23">
        <v>9000</v>
      </c>
      <c r="H23" s="1">
        <f>((G23*2*E23/F23)/9000)*(60*24*576*0.9/1000)</f>
        <v>17.226830769230766</v>
      </c>
      <c r="I23">
        <v>1000</v>
      </c>
      <c r="J23">
        <v>240</v>
      </c>
      <c r="K23">
        <f>(I23+J23)/H23*D23/100</f>
        <v>0.56144975994513047</v>
      </c>
    </row>
    <row r="24" spans="1:11">
      <c r="A24">
        <v>9</v>
      </c>
      <c r="B24" t="s">
        <v>48</v>
      </c>
      <c r="C24" s="6" t="s">
        <v>49</v>
      </c>
      <c r="D24" s="1">
        <v>4.43</v>
      </c>
      <c r="E24">
        <v>185</v>
      </c>
    </row>
    <row r="25" spans="1:11">
      <c r="A25">
        <v>10</v>
      </c>
      <c r="B25" t="s">
        <v>50</v>
      </c>
      <c r="C25" s="5" t="s">
        <v>51</v>
      </c>
      <c r="D25" s="1">
        <v>3.08</v>
      </c>
      <c r="E25">
        <v>20</v>
      </c>
    </row>
    <row r="26" spans="1:11">
      <c r="A26">
        <v>10</v>
      </c>
      <c r="B26" t="s">
        <v>50</v>
      </c>
      <c r="C26" s="6" t="s">
        <v>29</v>
      </c>
      <c r="D26" s="1">
        <v>4.18</v>
      </c>
      <c r="E26">
        <v>50</v>
      </c>
      <c r="F26">
        <v>2750</v>
      </c>
      <c r="G26">
        <v>10000</v>
      </c>
      <c r="H26" s="1">
        <f>((G26*2*E26/F26)/9000)*(60*24*576*0.9/1000)</f>
        <v>30.161454545454543</v>
      </c>
      <c r="I26">
        <v>1000</v>
      </c>
      <c r="J26">
        <v>240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F6" sqref="F6"/>
    </sheetView>
  </sheetViews>
  <sheetFormatPr defaultRowHeight="15"/>
  <cols>
    <col min="2" max="2" width="15" bestFit="1" customWidth="1"/>
    <col min="5" max="5" width="11.85546875" bestFit="1" customWidth="1"/>
  </cols>
  <sheetData>
    <row r="1" spans="1:6">
      <c r="A1" t="s">
        <v>0</v>
      </c>
      <c r="B1" t="s">
        <v>1</v>
      </c>
      <c r="C1" t="s">
        <v>35</v>
      </c>
      <c r="D1" t="s">
        <v>34</v>
      </c>
      <c r="E1" t="s">
        <v>36</v>
      </c>
      <c r="F1" t="s">
        <v>41</v>
      </c>
    </row>
    <row r="2" spans="1:6">
      <c r="A2">
        <v>1</v>
      </c>
      <c r="B2" t="s">
        <v>3</v>
      </c>
      <c r="C2">
        <v>88</v>
      </c>
      <c r="D2">
        <v>48</v>
      </c>
      <c r="E2" t="s">
        <v>37</v>
      </c>
      <c r="F2" t="s">
        <v>42</v>
      </c>
    </row>
    <row r="3" spans="1:6">
      <c r="A3">
        <v>2</v>
      </c>
      <c r="B3" t="s">
        <v>4</v>
      </c>
      <c r="C3">
        <v>80</v>
      </c>
      <c r="D3">
        <v>48</v>
      </c>
      <c r="E3" t="s">
        <v>37</v>
      </c>
    </row>
    <row r="4" spans="1:6">
      <c r="A4">
        <v>3</v>
      </c>
      <c r="B4" t="s">
        <v>5</v>
      </c>
      <c r="C4">
        <v>70</v>
      </c>
      <c r="D4">
        <v>44</v>
      </c>
      <c r="E4" t="s">
        <v>37</v>
      </c>
    </row>
    <row r="5" spans="1:6">
      <c r="A5">
        <v>4</v>
      </c>
      <c r="B5" t="s">
        <v>6</v>
      </c>
      <c r="C5">
        <v>104</v>
      </c>
      <c r="D5">
        <v>56</v>
      </c>
      <c r="E5" t="s">
        <v>38</v>
      </c>
      <c r="F5" t="s">
        <v>44</v>
      </c>
    </row>
    <row r="6" spans="1:6">
      <c r="A6">
        <v>5</v>
      </c>
      <c r="B6" t="s">
        <v>7</v>
      </c>
      <c r="C6">
        <v>70</v>
      </c>
      <c r="D6">
        <v>48</v>
      </c>
      <c r="E6" t="s">
        <v>37</v>
      </c>
    </row>
    <row r="7" spans="1:6">
      <c r="A7">
        <v>6</v>
      </c>
      <c r="B7" t="s">
        <v>8</v>
      </c>
      <c r="C7">
        <v>88</v>
      </c>
      <c r="D7">
        <v>48</v>
      </c>
      <c r="E7" t="s">
        <v>37</v>
      </c>
    </row>
    <row r="8" spans="1:6">
      <c r="A8">
        <v>7</v>
      </c>
      <c r="B8" t="s">
        <v>9</v>
      </c>
      <c r="C8">
        <v>72</v>
      </c>
      <c r="D8">
        <v>38</v>
      </c>
      <c r="E8" t="s">
        <v>39</v>
      </c>
    </row>
    <row r="9" spans="1:6">
      <c r="A9">
        <v>8</v>
      </c>
      <c r="B9" t="s">
        <v>33</v>
      </c>
      <c r="C9">
        <v>114</v>
      </c>
      <c r="D9">
        <v>70</v>
      </c>
      <c r="E9" t="s">
        <v>40</v>
      </c>
      <c r="F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LOOMS</vt:lpstr>
      <vt:lpstr>TWIST</vt:lpstr>
      <vt:lpstr>IGNORE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2026-07-06T14:18:11Z</dcterms:modified>
</cp:coreProperties>
</file>