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240" yWindow="105" windowWidth="14805" windowHeight="8010" activeTab="1"/>
  </bookViews>
  <sheets>
    <sheet name="LOOMS" sheetId="1" r:id="rId1"/>
    <sheet name="TWIST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K11" i="2"/>
  <c r="K19"/>
  <c r="H2"/>
  <c r="K3"/>
  <c r="K2"/>
  <c r="H3"/>
  <c r="H19"/>
  <c r="H16"/>
  <c r="H15"/>
  <c r="H13"/>
  <c r="H11"/>
  <c r="H9"/>
  <c r="H8"/>
  <c r="H5"/>
</calcChain>
</file>

<file path=xl/sharedStrings.xml><?xml version="1.0" encoding="utf-8"?>
<sst xmlns="http://schemas.openxmlformats.org/spreadsheetml/2006/main" count="61" uniqueCount="32">
  <si>
    <t>#</t>
  </si>
  <si>
    <t>Quality</t>
  </si>
  <si>
    <t>Quality Pick</t>
  </si>
  <si>
    <t>FLUTE</t>
  </si>
  <si>
    <t>BETA</t>
  </si>
  <si>
    <t>CRUNCHY</t>
  </si>
  <si>
    <t>PURE GOLD</t>
  </si>
  <si>
    <t>SUNSHINE</t>
  </si>
  <si>
    <t>VAARI CHIFFON</t>
  </si>
  <si>
    <t>TESLA SEQ</t>
  </si>
  <si>
    <t>Warp Pagar</t>
  </si>
  <si>
    <t>Pasar Pagar</t>
  </si>
  <si>
    <t>Mending Pagar</t>
  </si>
  <si>
    <t>YARN</t>
  </si>
  <si>
    <t>TPM</t>
  </si>
  <si>
    <t>20/1 MONO GOLD</t>
  </si>
  <si>
    <t>30/14 SD POLY</t>
  </si>
  <si>
    <t>30/06 BRT POLY</t>
  </si>
  <si>
    <t>20/1 MONO TEX</t>
  </si>
  <si>
    <t>DENIER</t>
  </si>
  <si>
    <t>55/12 SPARKLE SIZE</t>
  </si>
  <si>
    <t>TFO PAGAR</t>
  </si>
  <si>
    <t>ELEC (TFO)</t>
  </si>
  <si>
    <t>RPM</t>
  </si>
  <si>
    <t>YARN CONSUMPTION</t>
  </si>
  <si>
    <t>OUTPUT(KG)/DAY/TFO</t>
  </si>
  <si>
    <t>ELEC COST/DAY/TFO</t>
  </si>
  <si>
    <t>TFO PAGAR/DAY/TFO</t>
  </si>
  <si>
    <t>20/1 MONO BRT (S)</t>
  </si>
  <si>
    <t>50/24 SD CATONIC</t>
  </si>
  <si>
    <t>POLYESTER SEQUENCE</t>
  </si>
  <si>
    <t>150 DIGITAL JARI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</si>
</sst>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horizontal="center" wrapText="1"/>
    </xf>
    <xf numFmtId="0" fontId="0" fillId="0" borderId="0" xfId="0" applyFont="1" applyAlignment="1">
      <alignment horizontal="center" wrapText="1"/>
    </xf>
    <xf numFmtId="0" fontId="0" fillId="0" borderId="0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"/>
  <sheetViews>
    <sheetView workbookViewId="0">
      <selection activeCell="F1" sqref="F1"/>
    </sheetView>
  </sheetViews>
  <sheetFormatPr defaultRowHeight="15"/>
  <cols>
    <col min="2" max="2" width="15" bestFit="1" customWidth="1"/>
    <col min="3" max="3" width="11.42578125" bestFit="1" customWidth="1"/>
    <col min="4" max="5" width="11.42578125" customWidth="1"/>
    <col min="6" max="7" width="11" bestFit="1" customWidth="1"/>
    <col min="8" max="8" width="14.28515625" bestFit="1" customWidth="1"/>
  </cols>
  <sheetData>
    <row r="1" spans="1:8">
      <c r="A1" t="s">
        <v>0</v>
      </c>
      <c r="B1" t="s">
        <v>1</v>
      </c>
      <c r="C1" t="s">
        <v>2</v>
      </c>
      <c r="D1" t="s">
        <v>21</v>
      </c>
      <c r="E1" t="s">
        <v>22</v>
      </c>
      <c r="F1" t="s">
        <v>10</v>
      </c>
      <c r="G1" t="s">
        <v>11</v>
      </c>
      <c r="H1" t="s">
        <v>12</v>
      </c>
    </row>
    <row r="2" spans="1:8">
      <c r="A2">
        <v>1</v>
      </c>
      <c r="B2" t="s">
        <v>3</v>
      </c>
      <c r="C2">
        <v>88</v>
      </c>
      <c r="D2">
        <v>68000</v>
      </c>
      <c r="E2">
        <v>312000</v>
      </c>
      <c r="F2" s="1">
        <v>0.28000000000000003</v>
      </c>
      <c r="G2" s="1">
        <v>0.2</v>
      </c>
      <c r="H2" s="1">
        <v>0.2</v>
      </c>
    </row>
    <row r="3" spans="1:8">
      <c r="A3">
        <v>2</v>
      </c>
      <c r="B3" t="s">
        <v>4</v>
      </c>
      <c r="C3">
        <v>80</v>
      </c>
      <c r="D3">
        <v>55000</v>
      </c>
      <c r="E3">
        <v>245000</v>
      </c>
      <c r="F3" s="1">
        <v>0.28000000000000003</v>
      </c>
      <c r="G3" s="1">
        <v>0.2</v>
      </c>
      <c r="H3" s="1">
        <v>0.2</v>
      </c>
    </row>
    <row r="4" spans="1:8">
      <c r="A4">
        <v>3</v>
      </c>
      <c r="B4" t="s">
        <v>5</v>
      </c>
      <c r="C4">
        <v>70</v>
      </c>
      <c r="D4">
        <v>86000</v>
      </c>
      <c r="E4">
        <v>400000</v>
      </c>
      <c r="F4" s="1">
        <v>0.28000000000000003</v>
      </c>
      <c r="G4" s="1">
        <v>0.2</v>
      </c>
      <c r="H4" s="1">
        <v>0.2</v>
      </c>
    </row>
    <row r="5" spans="1:8">
      <c r="A5">
        <v>4</v>
      </c>
      <c r="B5" t="s">
        <v>6</v>
      </c>
      <c r="C5">
        <v>104</v>
      </c>
      <c r="D5">
        <v>45000</v>
      </c>
      <c r="E5">
        <v>212000</v>
      </c>
      <c r="F5" s="1">
        <v>0.28000000000000003</v>
      </c>
      <c r="G5" s="1">
        <v>0.3</v>
      </c>
      <c r="H5" s="1">
        <v>0.2</v>
      </c>
    </row>
    <row r="6" spans="1:8">
      <c r="A6">
        <v>5</v>
      </c>
      <c r="B6" t="s">
        <v>7</v>
      </c>
      <c r="C6">
        <v>70</v>
      </c>
      <c r="D6">
        <v>50000</v>
      </c>
      <c r="E6">
        <v>232000</v>
      </c>
      <c r="F6" s="1">
        <v>0.28000000000000003</v>
      </c>
      <c r="G6" s="1">
        <v>0.2</v>
      </c>
      <c r="H6" s="1">
        <v>0.2</v>
      </c>
    </row>
    <row r="7" spans="1:8">
      <c r="A7">
        <v>6</v>
      </c>
      <c r="B7" t="s">
        <v>8</v>
      </c>
      <c r="C7">
        <v>88</v>
      </c>
      <c r="D7">
        <v>96000</v>
      </c>
      <c r="E7">
        <v>444000</v>
      </c>
      <c r="F7" s="1">
        <v>0.28000000000000003</v>
      </c>
      <c r="G7" s="1">
        <v>0.2</v>
      </c>
      <c r="H7" s="1">
        <v>0.2</v>
      </c>
    </row>
    <row r="8" spans="1:8">
      <c r="A8">
        <v>7</v>
      </c>
      <c r="B8" t="s">
        <v>9</v>
      </c>
      <c r="C8">
        <v>72</v>
      </c>
      <c r="D8">
        <v>40000</v>
      </c>
      <c r="E8">
        <v>180000</v>
      </c>
      <c r="F8" s="1">
        <v>0</v>
      </c>
      <c r="G8" s="1">
        <v>0.3</v>
      </c>
      <c r="H8" s="1">
        <v>0.2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K19"/>
  <sheetViews>
    <sheetView tabSelected="1" workbookViewId="0">
      <selection activeCell="C6" sqref="C6"/>
    </sheetView>
  </sheetViews>
  <sheetFormatPr defaultRowHeight="15"/>
  <cols>
    <col min="2" max="2" width="15" bestFit="1" customWidth="1"/>
    <col min="3" max="3" width="20.5703125" bestFit="1" customWidth="1"/>
    <col min="4" max="4" width="16.7109375" customWidth="1"/>
    <col min="8" max="8" width="12" style="1" bestFit="1" customWidth="1"/>
    <col min="9" max="9" width="10" customWidth="1"/>
    <col min="10" max="10" width="8.5703125" customWidth="1"/>
  </cols>
  <sheetData>
    <row r="1" spans="1:11" ht="45" customHeight="1">
      <c r="A1" s="3" t="s">
        <v>0</v>
      </c>
      <c r="B1" s="3" t="s">
        <v>1</v>
      </c>
      <c r="C1" s="3" t="s">
        <v>13</v>
      </c>
      <c r="D1" s="5" t="s">
        <v>24</v>
      </c>
      <c r="E1" s="3" t="s">
        <v>19</v>
      </c>
      <c r="F1" s="3" t="s">
        <v>14</v>
      </c>
      <c r="G1" s="3" t="s">
        <v>23</v>
      </c>
      <c r="H1" s="4" t="s">
        <v>25</v>
      </c>
      <c r="I1" s="3" t="s">
        <v>26</v>
      </c>
      <c r="J1" s="3" t="s">
        <v>27</v>
      </c>
    </row>
    <row r="2" spans="1:11">
      <c r="A2">
        <v>1</v>
      </c>
      <c r="B2" t="s">
        <v>3</v>
      </c>
      <c r="C2" s="2" t="s">
        <v>17</v>
      </c>
      <c r="D2">
        <v>2.44</v>
      </c>
      <c r="E2">
        <v>30</v>
      </c>
      <c r="F2">
        <v>1400</v>
      </c>
      <c r="G2">
        <v>9000</v>
      </c>
      <c r="H2" s="1">
        <f>((G2*2*E2/F2)/9000)*(60*24*576*0.9/1000)</f>
        <v>31.992685714285713</v>
      </c>
      <c r="I2">
        <v>1000</v>
      </c>
      <c r="J2">
        <v>240</v>
      </c>
      <c r="K2">
        <f>(I2+J2)/H2*D2/100</f>
        <v>0.9457161636945588</v>
      </c>
    </row>
    <row r="3" spans="1:11">
      <c r="A3">
        <v>1</v>
      </c>
      <c r="B3" t="s">
        <v>3</v>
      </c>
      <c r="C3" s="2" t="s">
        <v>17</v>
      </c>
      <c r="D3">
        <v>1.06</v>
      </c>
      <c r="E3">
        <v>30</v>
      </c>
      <c r="F3">
        <v>3000</v>
      </c>
      <c r="G3">
        <v>10000</v>
      </c>
      <c r="H3" s="1">
        <f>((G3*2*E3/F3)/9000)*(60*24*576*0.9/1000)</f>
        <v>16.588799999999999</v>
      </c>
      <c r="I3">
        <v>1000</v>
      </c>
      <c r="J3">
        <v>240</v>
      </c>
      <c r="K3">
        <f>(I3+J3)/H3*D3/100</f>
        <v>0.79234182098765449</v>
      </c>
    </row>
    <row r="4" spans="1:11">
      <c r="A4">
        <v>1</v>
      </c>
      <c r="B4" t="s">
        <v>3</v>
      </c>
      <c r="C4" s="6" t="s">
        <v>15</v>
      </c>
      <c r="D4">
        <v>0.63</v>
      </c>
      <c r="E4">
        <v>20</v>
      </c>
      <c r="I4">
        <v>1000</v>
      </c>
      <c r="J4">
        <v>240</v>
      </c>
    </row>
    <row r="5" spans="1:11">
      <c r="A5">
        <v>2</v>
      </c>
      <c r="B5" t="s">
        <v>4</v>
      </c>
      <c r="C5" s="2" t="s">
        <v>16</v>
      </c>
      <c r="D5">
        <v>2.13</v>
      </c>
      <c r="E5">
        <v>30</v>
      </c>
      <c r="F5">
        <v>2600</v>
      </c>
      <c r="G5">
        <v>10000</v>
      </c>
      <c r="H5" s="1">
        <f>((G5*2*E5/F5)/9000)*(60*24*576*0.9/1000)</f>
        <v>19.140923076923077</v>
      </c>
      <c r="I5">
        <v>1000</v>
      </c>
      <c r="J5">
        <v>240</v>
      </c>
    </row>
    <row r="6" spans="1:11">
      <c r="A6">
        <v>2</v>
      </c>
      <c r="B6" t="s">
        <v>4</v>
      </c>
      <c r="C6" s="6" t="s">
        <v>15</v>
      </c>
      <c r="D6">
        <v>0.55000000000000004</v>
      </c>
      <c r="E6">
        <v>20</v>
      </c>
      <c r="I6">
        <v>1000</v>
      </c>
      <c r="J6">
        <v>240</v>
      </c>
    </row>
    <row r="7" spans="1:11">
      <c r="A7">
        <v>2</v>
      </c>
      <c r="B7" t="s">
        <v>4</v>
      </c>
      <c r="C7" s="2" t="s">
        <v>18</v>
      </c>
      <c r="D7">
        <v>0.55000000000000004</v>
      </c>
      <c r="E7">
        <v>20</v>
      </c>
      <c r="I7">
        <v>1000</v>
      </c>
      <c r="J7">
        <v>240</v>
      </c>
    </row>
    <row r="8" spans="1:11">
      <c r="A8">
        <v>3</v>
      </c>
      <c r="B8" t="s">
        <v>5</v>
      </c>
      <c r="C8" s="6" t="s">
        <v>29</v>
      </c>
      <c r="D8">
        <v>3.43</v>
      </c>
      <c r="E8">
        <v>50</v>
      </c>
      <c r="F8">
        <v>1400</v>
      </c>
      <c r="G8">
        <v>9000</v>
      </c>
      <c r="H8" s="1">
        <f>((G8*2*E8/F8)/9000)*(60*24*576*0.9/1000)</f>
        <v>53.32114285714286</v>
      </c>
      <c r="I8">
        <v>1000</v>
      </c>
      <c r="J8">
        <v>240</v>
      </c>
    </row>
    <row r="9" spans="1:11">
      <c r="A9">
        <v>3</v>
      </c>
      <c r="B9" t="s">
        <v>5</v>
      </c>
      <c r="C9" s="6" t="s">
        <v>29</v>
      </c>
      <c r="D9">
        <v>2.68</v>
      </c>
      <c r="E9">
        <v>50</v>
      </c>
      <c r="F9">
        <v>2750</v>
      </c>
      <c r="G9">
        <v>10000</v>
      </c>
      <c r="H9" s="1">
        <f>((G9*2*E9/F9)/9000)*(60*24*576*0.9/1000)</f>
        <v>30.161454545454543</v>
      </c>
      <c r="I9">
        <v>1000</v>
      </c>
      <c r="J9">
        <v>240</v>
      </c>
    </row>
    <row r="10" spans="1:11">
      <c r="A10">
        <v>3</v>
      </c>
      <c r="B10" t="s">
        <v>5</v>
      </c>
      <c r="C10" s="6" t="s">
        <v>28</v>
      </c>
      <c r="D10">
        <v>0.97</v>
      </c>
      <c r="E10">
        <v>20</v>
      </c>
      <c r="I10">
        <v>1000</v>
      </c>
      <c r="J10">
        <v>240</v>
      </c>
    </row>
    <row r="11" spans="1:11">
      <c r="A11">
        <v>4</v>
      </c>
      <c r="B11" t="s">
        <v>6</v>
      </c>
      <c r="C11" s="2" t="s">
        <v>16</v>
      </c>
      <c r="D11">
        <v>2.67</v>
      </c>
      <c r="E11">
        <v>30</v>
      </c>
      <c r="F11">
        <v>2600</v>
      </c>
      <c r="G11">
        <v>10000</v>
      </c>
      <c r="H11" s="1">
        <f>((G11*2*E11/F11)/9000)*(60*24*576*0.9/1000)</f>
        <v>19.140923076923077</v>
      </c>
      <c r="I11">
        <v>1000</v>
      </c>
      <c r="J11">
        <v>240</v>
      </c>
      <c r="K11">
        <f t="shared" ref="K11" si="0">(I11+J11)/H11*D11/100</f>
        <v>1.7296971450617284</v>
      </c>
    </row>
    <row r="12" spans="1:11">
      <c r="A12">
        <v>4</v>
      </c>
      <c r="B12" t="s">
        <v>6</v>
      </c>
      <c r="C12" s="6" t="s">
        <v>15</v>
      </c>
      <c r="D12">
        <v>1.49</v>
      </c>
      <c r="E12">
        <v>20</v>
      </c>
      <c r="I12">
        <v>1000</v>
      </c>
      <c r="J12">
        <v>240</v>
      </c>
    </row>
    <row r="13" spans="1:11">
      <c r="A13">
        <v>5</v>
      </c>
      <c r="B13" t="s">
        <v>7</v>
      </c>
      <c r="C13" s="2" t="s">
        <v>17</v>
      </c>
      <c r="D13">
        <v>2.92</v>
      </c>
      <c r="E13">
        <v>30</v>
      </c>
      <c r="F13">
        <v>1400</v>
      </c>
      <c r="G13">
        <v>9000</v>
      </c>
      <c r="H13" s="1">
        <f>((G13*2*E13/F13)/9000)*(60*24*576*0.9/1000)</f>
        <v>31.992685714285713</v>
      </c>
      <c r="I13">
        <v>1000</v>
      </c>
      <c r="J13">
        <v>240</v>
      </c>
    </row>
    <row r="14" spans="1:11">
      <c r="A14">
        <v>5</v>
      </c>
      <c r="B14" t="s">
        <v>7</v>
      </c>
      <c r="C14" s="2" t="s">
        <v>31</v>
      </c>
      <c r="D14">
        <v>2.89</v>
      </c>
      <c r="E14">
        <v>150</v>
      </c>
      <c r="I14">
        <v>1000</v>
      </c>
      <c r="J14">
        <v>240</v>
      </c>
    </row>
    <row r="15" spans="1:11">
      <c r="A15">
        <v>6</v>
      </c>
      <c r="B15" t="s">
        <v>8</v>
      </c>
      <c r="C15" s="2" t="s">
        <v>17</v>
      </c>
      <c r="D15">
        <v>2.44</v>
      </c>
      <c r="E15">
        <v>30</v>
      </c>
      <c r="F15">
        <v>1400</v>
      </c>
      <c r="G15">
        <v>9000</v>
      </c>
      <c r="H15" s="1">
        <f>((G15*2*E15/F15)/9000)*(60*24*576*0.9/1000)</f>
        <v>31.992685714285713</v>
      </c>
      <c r="I15">
        <v>1000</v>
      </c>
      <c r="J15">
        <v>240</v>
      </c>
    </row>
    <row r="16" spans="1:11">
      <c r="A16">
        <v>6</v>
      </c>
      <c r="B16" t="s">
        <v>8</v>
      </c>
      <c r="C16" s="2" t="s">
        <v>17</v>
      </c>
      <c r="D16">
        <v>2.13</v>
      </c>
      <c r="E16">
        <v>30</v>
      </c>
      <c r="F16">
        <v>3000</v>
      </c>
      <c r="G16">
        <v>10000</v>
      </c>
      <c r="H16" s="1">
        <f>((G16*2*E16/F16)/9000)*(60*24*576*0.9/1000)</f>
        <v>16.588799999999999</v>
      </c>
      <c r="I16">
        <v>1000</v>
      </c>
      <c r="J16">
        <v>240</v>
      </c>
    </row>
    <row r="17" spans="1:11">
      <c r="A17">
        <v>7</v>
      </c>
      <c r="B17" t="s">
        <v>9</v>
      </c>
      <c r="C17" t="s">
        <v>20</v>
      </c>
      <c r="D17">
        <v>4.84</v>
      </c>
      <c r="E17">
        <v>55</v>
      </c>
      <c r="I17">
        <v>1000</v>
      </c>
      <c r="J17">
        <v>240</v>
      </c>
    </row>
    <row r="18" spans="1:11">
      <c r="A18">
        <v>7</v>
      </c>
      <c r="B18" t="s">
        <v>9</v>
      </c>
      <c r="C18" s="6" t="s">
        <v>30</v>
      </c>
      <c r="D18">
        <v>0.41</v>
      </c>
      <c r="E18">
        <v>1800</v>
      </c>
      <c r="I18">
        <v>1000</v>
      </c>
      <c r="J18">
        <v>240</v>
      </c>
    </row>
    <row r="19" spans="1:11">
      <c r="A19">
        <v>7</v>
      </c>
      <c r="B19" t="s">
        <v>9</v>
      </c>
      <c r="C19" s="6" t="s">
        <v>29</v>
      </c>
      <c r="D19">
        <v>2.92</v>
      </c>
      <c r="E19">
        <v>50</v>
      </c>
      <c r="F19">
        <v>2750</v>
      </c>
      <c r="G19">
        <v>10000</v>
      </c>
      <c r="H19" s="1">
        <f>((G19*2*E19/F19)/9000)*(60*24*576*0.9/1000)</f>
        <v>30.161454545454543</v>
      </c>
      <c r="I19">
        <v>1000</v>
      </c>
      <c r="J19">
        <v>240</v>
      </c>
      <c r="K19">
        <f>(I19+J19)/H19*D19/100</f>
        <v>1.2004726080246915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LOOMS</vt:lpstr>
      <vt:lpstr>TWIST</vt:lpstr>
      <vt:lpstr>Sheet3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2026-02-21T15:12:13Z</dcterms:modified>
</cp:coreProperties>
</file>