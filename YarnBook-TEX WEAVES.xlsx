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1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  <sheet name="Sheet1" sheetId="7" r:id="rId6"/>
  </sheets>
  <definedNames>
    <definedName name="_xlnm._FilterDatabase" localSheetId="0" hidden="1">'25-26'!$A$2:$AH$251</definedName>
    <definedName name="_xlnm._FilterDatabase" localSheetId="1" hidden="1">'25-26 JW'!$A$2:$O$60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M60" i="4"/>
  <c r="K60"/>
  <c r="I60"/>
  <c r="M59"/>
  <c r="K59"/>
  <c r="I59"/>
  <c r="I58"/>
  <c r="K58" s="1"/>
  <c r="M58" s="1"/>
  <c r="M57"/>
  <c r="K57"/>
  <c r="I57"/>
  <c r="I56"/>
  <c r="K56" s="1"/>
  <c r="M56" s="1"/>
  <c r="K55"/>
  <c r="M55" s="1"/>
  <c r="I55"/>
  <c r="I54"/>
  <c r="K54" s="1"/>
  <c r="M54" s="1"/>
  <c r="M53"/>
  <c r="K53"/>
  <c r="I53"/>
  <c r="I52"/>
  <c r="K52" s="1"/>
  <c r="M52" s="1"/>
  <c r="M46" l="1"/>
  <c r="M50"/>
  <c r="I51"/>
  <c r="K51" s="1"/>
  <c r="M51" s="1"/>
  <c r="I50"/>
  <c r="K50" s="1"/>
  <c r="I49"/>
  <c r="K49" s="1"/>
  <c r="M49" s="1"/>
  <c r="I47"/>
  <c r="K47" s="1"/>
  <c r="M47" s="1"/>
  <c r="I48"/>
  <c r="K48" s="1"/>
  <c r="M48" s="1"/>
  <c r="I46"/>
  <c r="K46" s="1"/>
  <c r="I45"/>
  <c r="K45" s="1"/>
  <c r="M45" s="1"/>
  <c r="I44"/>
  <c r="K44" s="1"/>
  <c r="M44" s="1"/>
  <c r="I43"/>
  <c r="K43" s="1"/>
  <c r="M43" s="1"/>
  <c r="K37"/>
  <c r="M37" s="1"/>
  <c r="I37"/>
  <c r="I36"/>
  <c r="K36" s="1"/>
  <c r="M36" s="1"/>
  <c r="I41"/>
  <c r="K41" s="1"/>
  <c r="M41" s="1"/>
  <c r="I42"/>
  <c r="K42" s="1"/>
  <c r="M42" s="1"/>
  <c r="Q48" i="7"/>
  <c r="Q30"/>
  <c r="Q222" i="1"/>
  <c r="Q219"/>
  <c r="Q218"/>
  <c r="Q217"/>
  <c r="Q216"/>
  <c r="Q215"/>
  <c r="Q214"/>
  <c r="Q213"/>
  <c r="Q211"/>
  <c r="Q210"/>
  <c r="Q207"/>
  <c r="Q206"/>
  <c r="Q205"/>
  <c r="Q201"/>
  <c r="Q200"/>
  <c r="Q187"/>
  <c r="Q186"/>
  <c r="Q95"/>
  <c r="Q94"/>
  <c r="Q93"/>
  <c r="Q87"/>
  <c r="Q84"/>
  <c r="Q82"/>
  <c r="Q79"/>
  <c r="Q77"/>
  <c r="Q76"/>
  <c r="Q75"/>
  <c r="Q74"/>
  <c r="Q72"/>
  <c r="Q67"/>
  <c r="Q64"/>
  <c r="I40" i="4"/>
  <c r="K40" s="1"/>
  <c r="M40" s="1"/>
  <c r="I39"/>
  <c r="K39" s="1"/>
  <c r="M39" s="1"/>
  <c r="I22" l="1"/>
  <c r="K22" s="1"/>
  <c r="M22" s="1"/>
  <c r="I38" l="1"/>
  <c r="K38" s="1"/>
  <c r="M38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Q11" l="1"/>
  <c r="Q56"/>
  <c r="Q55"/>
  <c r="P54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66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66" i="4"/>
  <c r="K66" l="1"/>
  <c r="H66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<sst xmlns="http://schemas.openxmlformats.org/spreadsheetml/2006/main" count="2255" uniqueCount="347">
  <si>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</si>
  <si>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</si>
  <si>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</si>
  <si>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</si>
  <si>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</si>
  <si>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</si>
  <si>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</si>
  <si>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</si>
  <si>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</si>
  <si>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</si>
  <si>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</si>
  <si>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</si>
  <si>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</si>
  <si>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</si>
  <si>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</si>
  <si>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</si>
  <si>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</si>
  <si>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</si>
  <si>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</si>
  <si>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</si>
  <si>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</si>
  <si>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</si>
  <si>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</si>
  <si>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</si>
  <si>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</si>
  <si>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</si>
  <si>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</si>
  <si>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</si>
  <si>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</si>
  <si>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</si>
  <si>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</si>
  <si>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</si>
  <si>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</si>
  <si>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</si>
  <si>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</si>
  <si>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</si>
  <si>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</si>
  <si>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</si>
  <si>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</si>
  <si>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</si>
  <si>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</si>
  <si>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</si>
  <si>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</si>
  <si>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</si>
  <si>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</si>
  <si>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</si>
  <si>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</si>
  <si>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</si>
  <si>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</si>
  <si>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</si>
  <si>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</si>
  <si>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</si>
  <si>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</si>
  <si>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</si>
  <si>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</si>
  <si>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</si>
  <si>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</si>
  <si>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</si>
  <si>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</si>
  <si>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</si>
  <si>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</si>
  <si>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</si>
  <si>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</si>
  <si>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</si>
  <si>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</si>
  <si>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</si>
  <si>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</si>
  <si>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</si>
  <si>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</si>
  <si>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</si>
  <si>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</si>
  <si>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</si>
  <si>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</si>
  <si>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</si>
  <si>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</si>
  <si>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</si>
  <si>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</si>
  <si>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</si>
  <si>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</si>
  <si>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</si>
  <si>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</si>
  <si>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</si>
  <si>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</si>
  <si>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</si>
  <si>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</si>
  <si>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</si>
  <si>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</si>
  <si>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</si>
  <si>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</si>
  <si>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</si>
  <si>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</si>
  <si>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</si>
  <si>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</si>
  <si>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</si>
  <si>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</si>
  <si>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</si>
  <si>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</si>
  <si>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</si>
  <si>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</si>
  <si>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</si>
  <si>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</si>
  <si>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</si>
  <si>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</si>
  <si>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</si>
  <si>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</si>
  <si>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</si>
  <si>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</si>
  <si>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</si>
  <si>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</si>
  <si>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</si>
  <si>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</si>
  <si>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</si>
  <si>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</si>
  <si>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</si>
  <si>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</si>
  <si>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</si>
  <si>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</si>
  <si>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</si>
  <si>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</si>
  <si>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</si>
  <si>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</si>
  <si>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</si>
  <si>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</si>
  <si>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</si>
  <si>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</si>
  <si>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</si>
  <si>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</si>
  <si>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</si>
  <si>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</si>
  <si>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</si>
  <si>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</si>
  <si>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</si>
  <si>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</si>
  <si>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</si>
  <si>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</si>
  <si>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</si>
  <si>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</si>
  <si>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</si>
  <si>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</si>
  <si>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</si>
  <si>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</si>
  <si>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</si>
  <si>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</si>
  <si>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</si>
  <si>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</si>
  <si>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</si>
  <si>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</si>
  <si>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</si>
  <si>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</si>
  <si>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</si>
  <si>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</si>
  <si>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</si>
  <si>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</si>
  <si>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</si>
  <si>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</si>
  <si>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</si>
  <si>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</si>
  <si>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</si>
  <si>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</si>
  <si>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</si>
  <si>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</si>
  <si>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</si>
  <si>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</si>
  <si>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</si>
  <si>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</si>
  <si>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</si>
  <si>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</si>
  <si>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</si>
  <si>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</si>
  <si>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</si>
  <si>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</si>
  <si>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</si>
  <si>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</si>
  <si>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</si>
  <si>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</si>
  <si>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</si>
  <si>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</si>
  <si>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</si>
  <si>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</si>
  <si>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</si>
  <si>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</si>
  <si>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</si>
  <si>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</si>
  <si>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</si>
  <si>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</si>
  <si>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</si>
  <si>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</si>
  <si>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</si>
  <si>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</si>
  <si>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</si>
  <si>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</si>
  <si>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</si>
  <si>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</si>
  <si>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</si>
  <si>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</si>
  <si>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</si>
  <si>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</si>
  <si>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</si>
  <si>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</si>
  <si>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</si>
  <si>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</si>
  <si>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</si>
  <si>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</si>
  <si>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</si>
  <si>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</si>
  <si>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</si>
  <si>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</si>
  <si>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</si>
  <si>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</si>
  <si>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</si>
  <si>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</si>
  <si>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</si>
  <si>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</si>
  <si>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</si>
  <si>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</si>
  <si>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</si>
  <si>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</si>
  <si>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</si>
  <si>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</si>
  <si>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</si>
  <si>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</si>
  <si>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</si>
  <si>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</si>
  <si>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</si>
  <si>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</si>
  <si>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</si>
  <si>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</si>
  <si>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</si>
  <si>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</si>
  <si>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</si>
  <si>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</si>
  <si>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</si>
  <si>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</si>
  <si>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</si>
  <si>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</si>
  <si>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</si>
  <si>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</si>
  <si>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</si>
  <si>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</si>
  <si>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</si>
  <si>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</si>
  <si>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</si>
  <si>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</si>
  <si>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</si>
  <si>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</si>
  <si>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</si>
  <si>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</si>
  <si>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</si>
  <si>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</si>
  <si>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</si>
  <si>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</si>
  <si>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</si>
  <si>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</si>
  <si>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</si>
  <si>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</si>
  <si>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</si>
  <si>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</si>
  <si>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</si>
  <si>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</si>
  <si>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</si>
  <si>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</si>
  <si>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</si>
  <si>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</si>
  <si>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</si>
  <si>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</si>
  <si>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</si>
  <si>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</si>
  <si>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</si>
  <si>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</si>
  <si>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</si>
  <si>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</si>
  <si>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</si>
  <si>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</si>
  <si>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</si>
  <si>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</si>
  <si>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</si>
  <si>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</si>
  <si>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</si>
  <si>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</si>
  <si>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</si>
  <si>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</si>
  <si>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</si>
  <si>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</si>
  <si>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</si>
  <si>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</si>
  <si>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</si>
  <si>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</si>
  <si>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</si>
  <si>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</si>
  <si>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</si>
  <si>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</si>
  <si>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</si>
  <si>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</si>
  <si>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</si>
  <si>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</si>
  <si>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</si>
  <si>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</si>
  <si>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</si>
  <si>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</si>
  <si>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</si>
  <si>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</si>
  <si>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</si>
  <si>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</si>
  <si>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</si>
  <si>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</si>
  <si>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</si>
  <si>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</si>
  <si>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</si>
  <si>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</si>
  <si>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</si>
  <si>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</si>
  <si>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</si>
  <si>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</si>
  <si>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</si>
  <si>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</si>
  <si>
    <t>JOB16</t>
  </si>
  <si>
    <t>JOB17</t>
  </si>
  <si>
    <t>JOB18</t>
  </si>
  <si>
    <t>JOB19</t>
  </si>
  <si>
    <t>JOB20</t>
  </si>
  <si>
    <t>JOB21</t>
  </si>
  <si>
    <t>JOB22</t>
  </si>
  <si>
    <t>JOB23</t>
  </si>
  <si>
    <t>JOB24</t>
  </si>
  <si>
    <t>JOB25</t>
  </si>
  <si>
    <t>JOB26</t>
  </si>
  <si>
    <t>JOB27</t>
  </si>
  <si>
    <t>JOB28</t>
  </si>
  <si>
    <t>JOB29</t>
  </si>
  <si>
    <t>JOB30</t>
  </si>
  <si>
    <t>J-10</t>
  </si>
  <si>
    <t>JOB31</t>
  </si>
  <si>
    <t>JOB32</t>
  </si>
  <si>
    <t>JOB33</t>
  </si>
  <si>
    <t>JOB34</t>
  </si>
  <si>
    <t>JOB35</t>
  </si>
  <si>
    <t>JOB36</t>
  </si>
  <si>
    <t>JOB37</t>
  </si>
  <si>
    <t>J-11</t>
  </si>
  <si>
    <t>JOB38</t>
  </si>
  <si>
    <t>JOB39</t>
  </si>
  <si>
    <t>JOB40</t>
  </si>
  <si>
    <t>JOB41</t>
  </si>
  <si>
    <t>JOB42</t>
  </si>
  <si>
    <t>JOB43</t>
  </si>
  <si>
    <t>JOB44</t>
  </si>
  <si>
    <t>J-12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</si>
</sst>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51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3" fillId="4" borderId="0" xfId="3" applyNumberFormat="1" applyAlignment="1">
      <alignment horizontal="right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topLeftCell="A2" zoomScale="85" zoomScaleNormal="85" workbookViewId="0">
      <selection activeCell="D64" sqref="D64:W95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357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360</v>
      </c>
      <c r="Q17" s="66">
        <f t="shared" ref="Q17:Q26" ca="1" si="10">0.18*P17*M17/365</f>
        <v>11716.624303693154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 hidden="1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 hidden="1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:Q64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66">
        <f t="shared" si="39"/>
        <v>5164.9504824476717</v>
      </c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:Q67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66">
        <f t="shared" si="41"/>
        <v>3398.3990207999996</v>
      </c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2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66">
        <f t="shared" si="46"/>
        <v>7745.0841259054032</v>
      </c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:Q77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66">
        <f t="shared" si="47"/>
        <v>1125.922191780822</v>
      </c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66">
        <f t="shared" si="47"/>
        <v>2451.438991525808</v>
      </c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66">
        <f t="shared" si="47"/>
        <v>1782.7101369863014</v>
      </c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66">
        <f t="shared" si="47"/>
        <v>3462.6637448451615</v>
      </c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4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66">
        <f t="shared" si="49"/>
        <v>6652.1084360547939</v>
      </c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 hidden="1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 hidden="1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66">
        <f t="shared" si="49"/>
        <v>6445.3078120832879</v>
      </c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 hidden="1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66">
        <f t="shared" si="49"/>
        <v>3474.0090397676713</v>
      </c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 hidden="1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66">
        <f t="shared" ref="Q87" si="55">0.18*P87*M87/365</f>
        <v>6003.307428489863</v>
      </c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66">
        <f t="shared" ref="Q93:Q95" si="56">0.18*P93*M93/365</f>
        <v>825.17503561643844</v>
      </c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66">
        <f t="shared" si="56"/>
        <v>825.17503561643844</v>
      </c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7">DAYS360(L95,W95)-(1)</f>
        <v>25</v>
      </c>
      <c r="Q95" s="66">
        <f t="shared" si="56"/>
        <v>825.17503561643844</v>
      </c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7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7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7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7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7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7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7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9" t="s">
        <v>40</v>
      </c>
      <c r="C112" s="149"/>
      <c r="Y112" s="149" t="s">
        <v>39</v>
      </c>
      <c r="Z112" s="149"/>
    </row>
    <row r="113" spans="1:34" ht="15.75" hidden="1" thickBot="1">
      <c r="A113" t="s">
        <v>114</v>
      </c>
      <c r="B113" s="150" t="s">
        <v>34</v>
      </c>
      <c r="C113" s="150"/>
      <c r="Y113" s="150" t="s">
        <v>34</v>
      </c>
      <c r="Z113" s="150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8">I115*1.12</f>
        <v>204.06399999999999</v>
      </c>
      <c r="L115" s="1">
        <f t="shared" ref="L115:L126" si="59">D115+15</f>
        <v>45844</v>
      </c>
      <c r="M115" s="21">
        <f t="shared" ref="M115:M130" si="60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61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8"/>
        <v>263.20000000000005</v>
      </c>
      <c r="L116" s="1">
        <f>D116+15</f>
        <v>45848</v>
      </c>
      <c r="M116" s="21">
        <f t="shared" si="60"/>
        <v>9548.8960000000025</v>
      </c>
      <c r="N116" s="22" t="s">
        <v>99</v>
      </c>
      <c r="O116" s="2"/>
      <c r="P116" s="7">
        <f t="shared" ref="P116:P119" si="62">DAYS360(L116,W116)-(1)</f>
        <v>37</v>
      </c>
      <c r="Q116" s="66">
        <f t="shared" ref="Q116:Q119" si="63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4">H117*I117</f>
        <v>283905.95235599997</v>
      </c>
      <c r="K117" s="4">
        <f t="shared" si="58"/>
        <v>304.99996800000002</v>
      </c>
      <c r="L117" s="1">
        <f t="shared" ref="L117:L119" si="65">D117+15</f>
        <v>45849</v>
      </c>
      <c r="M117" s="21">
        <f t="shared" si="60"/>
        <v>317974.66663872002</v>
      </c>
      <c r="N117" s="22" t="s">
        <v>99</v>
      </c>
      <c r="O117" s="2"/>
      <c r="P117" s="7">
        <f t="shared" si="62"/>
        <v>36</v>
      </c>
      <c r="Q117" s="66">
        <f t="shared" si="63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4"/>
        <v>274870.32830399997</v>
      </c>
      <c r="K118" s="4">
        <f t="shared" si="58"/>
        <v>304.99996800000002</v>
      </c>
      <c r="L118" s="1">
        <f t="shared" si="65"/>
        <v>45849</v>
      </c>
      <c r="M118" s="21">
        <f t="shared" si="60"/>
        <v>307854.76770048001</v>
      </c>
      <c r="N118" s="22" t="s">
        <v>99</v>
      </c>
      <c r="O118" s="2"/>
      <c r="P118" s="7">
        <f t="shared" si="62"/>
        <v>36</v>
      </c>
      <c r="Q118" s="66">
        <f t="shared" si="63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4"/>
        <v>115097.135184</v>
      </c>
      <c r="K119" s="4">
        <f t="shared" si="58"/>
        <v>239.99998400000001</v>
      </c>
      <c r="L119" s="1">
        <f t="shared" si="65"/>
        <v>45849</v>
      </c>
      <c r="M119" s="21">
        <f t="shared" si="60"/>
        <v>128908.79140608001</v>
      </c>
      <c r="N119" s="22" t="s">
        <v>99</v>
      </c>
      <c r="O119" s="2"/>
      <c r="P119" s="7">
        <f t="shared" si="62"/>
        <v>36</v>
      </c>
      <c r="Q119" s="66">
        <f t="shared" si="63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4"/>
        <v>132376.5576</v>
      </c>
      <c r="K120" s="4">
        <f t="shared" si="58"/>
        <v>420.24304000000001</v>
      </c>
      <c r="L120" s="1">
        <f t="shared" ref="L120:L121" si="66">D120+17</f>
        <v>45851</v>
      </c>
      <c r="M120" s="21">
        <f t="shared" si="60"/>
        <v>148261.744512</v>
      </c>
      <c r="N120" s="22" t="s">
        <v>99</v>
      </c>
      <c r="O120" s="2"/>
      <c r="P120" s="7">
        <f t="shared" ref="P120:P121" si="67">DAYS360(L120,W120)-(1)</f>
        <v>34</v>
      </c>
      <c r="Q120" s="66">
        <f t="shared" ref="Q120:Q123" si="68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4"/>
        <v>67227.596799999999</v>
      </c>
      <c r="K121" s="4">
        <f t="shared" si="58"/>
        <v>420.17248000000006</v>
      </c>
      <c r="L121" s="1">
        <f t="shared" si="66"/>
        <v>45851</v>
      </c>
      <c r="M121" s="21">
        <f t="shared" si="60"/>
        <v>75294.908416000006</v>
      </c>
      <c r="N121" s="22" t="s">
        <v>99</v>
      </c>
      <c r="O121" s="2"/>
      <c r="P121" s="7">
        <f t="shared" si="67"/>
        <v>34</v>
      </c>
      <c r="Q121" s="66">
        <f t="shared" si="68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4"/>
        <v>208450</v>
      </c>
      <c r="K122" s="4">
        <f t="shared" si="58"/>
        <v>466.928</v>
      </c>
      <c r="L122" s="1">
        <f>D122+15</f>
        <v>45850</v>
      </c>
      <c r="M122" s="21">
        <f t="shared" si="60"/>
        <v>233464</v>
      </c>
      <c r="N122" s="22" t="s">
        <v>99</v>
      </c>
      <c r="O122" s="2"/>
      <c r="P122" s="7">
        <f>DAYS360(L122,W122)-(1)</f>
        <v>35</v>
      </c>
      <c r="Q122" s="66">
        <f t="shared" si="68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4"/>
        <v>138473.82199999999</v>
      </c>
      <c r="K123" s="4">
        <f t="shared" si="58"/>
        <v>204.06399999999999</v>
      </c>
      <c r="L123" s="1">
        <f t="shared" si="59"/>
        <v>45850</v>
      </c>
      <c r="M123" s="21">
        <f t="shared" si="60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8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4"/>
        <v>58925.373</v>
      </c>
      <c r="K124" s="51">
        <f t="shared" si="58"/>
        <v>149.96800000000002</v>
      </c>
      <c r="L124" s="1">
        <f>D124+18</f>
        <v>45850</v>
      </c>
      <c r="M124" s="75">
        <f t="shared" si="60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9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70">AD124*1.12</f>
        <v>149.96800000000002</v>
      </c>
      <c r="AF124" s="52">
        <f t="shared" ref="AF124" si="71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4"/>
        <v>136534.58000000002</v>
      </c>
      <c r="K125" s="4">
        <f t="shared" si="58"/>
        <v>420.10640000000006</v>
      </c>
      <c r="L125" s="1">
        <f>D125+17</f>
        <v>45854</v>
      </c>
      <c r="M125" s="21">
        <f t="shared" si="60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2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4"/>
        <v>140969.962</v>
      </c>
      <c r="K126" s="4">
        <f t="shared" si="58"/>
        <v>204.06399999999999</v>
      </c>
      <c r="L126" s="1">
        <f t="shared" si="59"/>
        <v>45853</v>
      </c>
      <c r="M126" s="21">
        <f t="shared" si="60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2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4"/>
        <v>62730.239600000001</v>
      </c>
      <c r="K127" s="4">
        <f t="shared" si="58"/>
        <v>425.28976000000006</v>
      </c>
      <c r="L127" s="1">
        <f t="shared" ref="L127:L131" si="73">D127+17</f>
        <v>45859</v>
      </c>
      <c r="M127" s="21">
        <f t="shared" si="60"/>
        <v>70257.868352000005</v>
      </c>
      <c r="N127" s="22" t="s">
        <v>99</v>
      </c>
      <c r="O127" s="2"/>
      <c r="P127" s="7">
        <f t="shared" ref="P127:P131" si="74">DAYS360(L127,W127)-(1)</f>
        <v>26</v>
      </c>
      <c r="Q127" s="66">
        <f t="shared" ref="Q127:Q139" si="75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4"/>
        <v>62730.239600000001</v>
      </c>
      <c r="K128" s="4">
        <f t="shared" si="58"/>
        <v>425.28976000000006</v>
      </c>
      <c r="L128" s="1">
        <f t="shared" si="73"/>
        <v>45859</v>
      </c>
      <c r="M128" s="21">
        <f t="shared" si="60"/>
        <v>70257.868352000005</v>
      </c>
      <c r="N128" s="22" t="s">
        <v>99</v>
      </c>
      <c r="O128" s="2"/>
      <c r="P128" s="7">
        <f t="shared" si="74"/>
        <v>26</v>
      </c>
      <c r="Q128" s="66">
        <f t="shared" si="75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4"/>
        <v>62730.239600000001</v>
      </c>
      <c r="K129" s="4">
        <f t="shared" si="58"/>
        <v>425.28976000000006</v>
      </c>
      <c r="L129" s="1">
        <f t="shared" si="73"/>
        <v>45859</v>
      </c>
      <c r="M129" s="21">
        <f t="shared" si="60"/>
        <v>70257.868352000005</v>
      </c>
      <c r="N129" s="22" t="s">
        <v>99</v>
      </c>
      <c r="O129" s="2"/>
      <c r="P129" s="7">
        <f t="shared" si="74"/>
        <v>26</v>
      </c>
      <c r="Q129" s="66">
        <f t="shared" si="75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4"/>
        <v>62730.239600000001</v>
      </c>
      <c r="K130" s="4">
        <f t="shared" si="58"/>
        <v>425.28976000000006</v>
      </c>
      <c r="L130" s="1">
        <f t="shared" si="73"/>
        <v>45860</v>
      </c>
      <c r="M130" s="21">
        <f t="shared" si="60"/>
        <v>70257.868352000005</v>
      </c>
      <c r="N130" s="22" t="s">
        <v>99</v>
      </c>
      <c r="O130" s="2"/>
      <c r="P130" s="7">
        <f t="shared" si="74"/>
        <v>25</v>
      </c>
      <c r="Q130" s="66">
        <f t="shared" si="75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4"/>
        <v>62730.239600000001</v>
      </c>
      <c r="K131" s="4">
        <f t="shared" ref="K131:K152" si="76">I131*1.12</f>
        <v>425.28976000000006</v>
      </c>
      <c r="L131" s="1">
        <f t="shared" si="73"/>
        <v>45860</v>
      </c>
      <c r="M131" s="21">
        <f t="shared" ref="M131:M229" si="77">H131*K131</f>
        <v>70257.868352000005</v>
      </c>
      <c r="N131" s="22" t="s">
        <v>99</v>
      </c>
      <c r="O131" s="2"/>
      <c r="P131" s="7">
        <f t="shared" si="74"/>
        <v>25</v>
      </c>
      <c r="Q131" s="66">
        <f t="shared" si="75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4"/>
        <v>141015.51199999999</v>
      </c>
      <c r="K132" s="4">
        <f t="shared" si="76"/>
        <v>204.06399999999999</v>
      </c>
      <c r="L132" s="1">
        <f t="shared" ref="L132:L174" si="78">D132+15</f>
        <v>45861</v>
      </c>
      <c r="M132" s="21">
        <f t="shared" si="77"/>
        <v>157937.37344</v>
      </c>
      <c r="N132" s="22" t="s">
        <v>98</v>
      </c>
      <c r="O132" s="2"/>
      <c r="P132" s="7">
        <f>DAYS360(L132,W132)-(1)</f>
        <v>26</v>
      </c>
      <c r="Q132" s="66">
        <f t="shared" si="75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4"/>
        <v>71046.371199999994</v>
      </c>
      <c r="K133" s="4">
        <f t="shared" si="76"/>
        <v>424.15744000000001</v>
      </c>
      <c r="L133" s="1">
        <f>D133+17</f>
        <v>45866</v>
      </c>
      <c r="M133" s="21">
        <f t="shared" si="77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5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4"/>
        <v>277539.07802399999</v>
      </c>
      <c r="K134" s="4">
        <f t="shared" si="76"/>
        <v>304.99996800000002</v>
      </c>
      <c r="L134" s="1">
        <f>D134+18</f>
        <v>45874</v>
      </c>
      <c r="M134" s="21">
        <f t="shared" si="77"/>
        <v>310843.76738688</v>
      </c>
      <c r="N134" s="22" t="s">
        <v>99</v>
      </c>
      <c r="O134" s="2"/>
      <c r="P134" s="7">
        <f>DAYS360(L134,W134)-(1)</f>
        <v>72</v>
      </c>
      <c r="Q134" s="66">
        <f t="shared" si="75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4"/>
        <v>71904.853999999992</v>
      </c>
      <c r="K135" s="4">
        <f t="shared" si="76"/>
        <v>208.54400000000001</v>
      </c>
      <c r="L135" s="1">
        <f>C135+16</f>
        <v>45878</v>
      </c>
      <c r="M135" s="21">
        <f t="shared" si="77"/>
        <v>80533.436480000004</v>
      </c>
      <c r="N135" s="22" t="s">
        <v>98</v>
      </c>
      <c r="O135" s="2"/>
      <c r="P135" s="7">
        <f t="shared" ref="P135:P138" si="79">DAYS360(L135,W135)-(1)</f>
        <v>66</v>
      </c>
      <c r="Q135" s="66">
        <f t="shared" si="75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4"/>
        <v>143507.43800000002</v>
      </c>
      <c r="K136" s="4">
        <f t="shared" si="76"/>
        <v>207.53600000000003</v>
      </c>
      <c r="L136" s="1">
        <f t="shared" ref="L136:L138" si="80">C136+16</f>
        <v>45878</v>
      </c>
      <c r="M136" s="21">
        <f t="shared" si="77"/>
        <v>160728.33056000003</v>
      </c>
      <c r="N136" s="22" t="s">
        <v>98</v>
      </c>
      <c r="O136" s="2"/>
      <c r="P136" s="7">
        <f t="shared" si="79"/>
        <v>66</v>
      </c>
      <c r="Q136" s="66">
        <f t="shared" si="75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4"/>
        <v>215114.77000000002</v>
      </c>
      <c r="K137" s="4">
        <f t="shared" si="76"/>
        <v>207.53600000000003</v>
      </c>
      <c r="L137" s="1">
        <f t="shared" si="80"/>
        <v>45884</v>
      </c>
      <c r="M137" s="21">
        <f t="shared" si="77"/>
        <v>240928.54240000006</v>
      </c>
      <c r="N137" s="22" t="s">
        <v>98</v>
      </c>
      <c r="O137" s="2"/>
      <c r="P137" s="7">
        <f t="shared" si="79"/>
        <v>60</v>
      </c>
      <c r="Q137" s="66">
        <f t="shared" si="75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4"/>
        <v>71592.508000000002</v>
      </c>
      <c r="K138" s="4">
        <f t="shared" si="76"/>
        <v>207.53600000000003</v>
      </c>
      <c r="L138" s="1">
        <f t="shared" si="80"/>
        <v>45884</v>
      </c>
      <c r="M138" s="21">
        <f t="shared" si="77"/>
        <v>80183.608960000012</v>
      </c>
      <c r="N138" s="22" t="s">
        <v>98</v>
      </c>
      <c r="O138" s="2"/>
      <c r="P138" s="7">
        <f t="shared" si="79"/>
        <v>60</v>
      </c>
      <c r="Q138" s="66">
        <f t="shared" si="75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 hidden="1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4"/>
        <v>77257.139200000005</v>
      </c>
      <c r="K139" s="4">
        <f t="shared" si="76"/>
        <v>337.99998400000004</v>
      </c>
      <c r="L139" s="1">
        <f>D139+18</f>
        <v>45888</v>
      </c>
      <c r="M139" s="21">
        <f t="shared" si="77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5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4"/>
        <v>37156.915999999997</v>
      </c>
      <c r="K140" s="4">
        <f t="shared" si="76"/>
        <v>423.78560000000004</v>
      </c>
      <c r="L140" s="1">
        <f t="shared" ref="L140:L143" si="81">D140+17</f>
        <v>45888</v>
      </c>
      <c r="M140" s="21">
        <f t="shared" si="77"/>
        <v>41615.745920000008</v>
      </c>
      <c r="N140" s="22" t="s">
        <v>99</v>
      </c>
      <c r="O140" s="2"/>
      <c r="P140" s="7">
        <f t="shared" ref="P140:P147" si="82">DAYS360(L140,W140)-(1)</f>
        <v>132</v>
      </c>
      <c r="Q140" s="66">
        <f t="shared" ref="Q140:Q146" si="83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4"/>
        <v>74313.831999999995</v>
      </c>
      <c r="K141" s="4">
        <f t="shared" si="76"/>
        <v>423.78560000000004</v>
      </c>
      <c r="L141" s="1">
        <f t="shared" si="81"/>
        <v>45889</v>
      </c>
      <c r="M141" s="21">
        <f t="shared" si="77"/>
        <v>83231.491840000017</v>
      </c>
      <c r="N141" s="22" t="s">
        <v>99</v>
      </c>
      <c r="O141" s="2"/>
      <c r="P141" s="7">
        <f t="shared" si="82"/>
        <v>131</v>
      </c>
      <c r="Q141" s="66">
        <f t="shared" si="83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4"/>
        <v>37156.915999999997</v>
      </c>
      <c r="K142" s="4">
        <f t="shared" si="76"/>
        <v>423.78560000000004</v>
      </c>
      <c r="L142" s="1">
        <f t="shared" si="81"/>
        <v>45889</v>
      </c>
      <c r="M142" s="21">
        <f t="shared" si="77"/>
        <v>41615.745920000008</v>
      </c>
      <c r="N142" s="22" t="s">
        <v>99</v>
      </c>
      <c r="O142" s="2"/>
      <c r="P142" s="7">
        <f t="shared" si="82"/>
        <v>131</v>
      </c>
      <c r="Q142" s="66">
        <f t="shared" si="83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4"/>
        <v>37156.915999999997</v>
      </c>
      <c r="K143" s="4">
        <f t="shared" si="76"/>
        <v>423.78560000000004</v>
      </c>
      <c r="L143" s="1">
        <f t="shared" si="81"/>
        <v>45890</v>
      </c>
      <c r="M143" s="21">
        <f t="shared" si="77"/>
        <v>41615.745920000008</v>
      </c>
      <c r="N143" s="22" t="s">
        <v>99</v>
      </c>
      <c r="O143" s="2"/>
      <c r="P143" s="7">
        <f t="shared" si="82"/>
        <v>130</v>
      </c>
      <c r="Q143" s="66">
        <f t="shared" si="83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4"/>
        <v>143487.05500000002</v>
      </c>
      <c r="K144" s="4">
        <f t="shared" si="76"/>
        <v>207.53600000000003</v>
      </c>
      <c r="L144" s="1">
        <f t="shared" ref="L144:L146" si="84">C144+16</f>
        <v>45892</v>
      </c>
      <c r="M144" s="21">
        <f t="shared" si="77"/>
        <v>160705.50160000002</v>
      </c>
      <c r="N144" s="22" t="s">
        <v>98</v>
      </c>
      <c r="O144" s="2"/>
      <c r="P144" s="7">
        <f t="shared" si="82"/>
        <v>58</v>
      </c>
      <c r="Q144" s="66">
        <f t="shared" si="83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4"/>
        <v>143342.52100000001</v>
      </c>
      <c r="K145" s="4">
        <f t="shared" si="76"/>
        <v>207.53600000000003</v>
      </c>
      <c r="L145" s="1">
        <f t="shared" si="84"/>
        <v>45895</v>
      </c>
      <c r="M145" s="21">
        <f t="shared" si="77"/>
        <v>160543.62352000002</v>
      </c>
      <c r="N145" s="22" t="s">
        <v>98</v>
      </c>
      <c r="O145" s="2"/>
      <c r="P145" s="7">
        <f t="shared" si="82"/>
        <v>55</v>
      </c>
      <c r="Q145" s="66">
        <f t="shared" si="83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4"/>
        <v>143364.75700000001</v>
      </c>
      <c r="K146" s="4">
        <f t="shared" si="76"/>
        <v>207.53600000000003</v>
      </c>
      <c r="L146" s="1">
        <f t="shared" si="84"/>
        <v>45895</v>
      </c>
      <c r="M146" s="21">
        <f t="shared" si="77"/>
        <v>160568.52784000002</v>
      </c>
      <c r="N146" s="22" t="s">
        <v>98</v>
      </c>
      <c r="O146" s="2"/>
      <c r="P146" s="7">
        <f t="shared" si="82"/>
        <v>55</v>
      </c>
      <c r="Q146" s="66">
        <f t="shared" si="83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4"/>
        <v>75776</v>
      </c>
      <c r="K147" s="4">
        <f t="shared" si="76"/>
        <v>331.52000000000004</v>
      </c>
      <c r="L147" s="1">
        <f>D147+18</f>
        <v>45909</v>
      </c>
      <c r="M147" s="21">
        <f t="shared" si="77"/>
        <v>84869.12000000001</v>
      </c>
      <c r="N147" s="22" t="s">
        <v>97</v>
      </c>
      <c r="O147" s="2"/>
      <c r="P147" s="7">
        <f t="shared" si="82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4"/>
        <v>217406.59199999998</v>
      </c>
      <c r="K148" s="4">
        <f t="shared" si="76"/>
        <v>209.66400000000002</v>
      </c>
      <c r="L148" s="1">
        <f t="shared" ref="L148:L149" si="85">C148+16</f>
        <v>45921</v>
      </c>
      <c r="M148" s="21">
        <f t="shared" si="77"/>
        <v>243495.38303999999</v>
      </c>
      <c r="N148" s="22" t="s">
        <v>98</v>
      </c>
      <c r="O148" s="2"/>
      <c r="P148" s="7">
        <f t="shared" ref="P148:P149" si="86">DAYS360(L148,W148)-(1)</f>
        <v>30</v>
      </c>
      <c r="Q148" s="66">
        <f t="shared" ref="Q148:Q150" si="87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4"/>
        <v>72551.231999999989</v>
      </c>
      <c r="K149" s="4">
        <f t="shared" si="76"/>
        <v>209.66400000000002</v>
      </c>
      <c r="L149" s="1">
        <f t="shared" si="85"/>
        <v>45927</v>
      </c>
      <c r="M149" s="21">
        <f t="shared" si="77"/>
        <v>81257.379840000009</v>
      </c>
      <c r="N149" s="22" t="s">
        <v>98</v>
      </c>
      <c r="O149" s="2"/>
      <c r="P149" s="7">
        <f t="shared" si="86"/>
        <v>24</v>
      </c>
      <c r="Q149" s="66">
        <f t="shared" si="87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 hidden="1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4"/>
        <v>75427.839999999997</v>
      </c>
      <c r="K150" s="4">
        <f t="shared" si="76"/>
        <v>329.99680000000001</v>
      </c>
      <c r="L150" s="1">
        <f>D150+18</f>
        <v>45931</v>
      </c>
      <c r="M150" s="21">
        <f t="shared" si="77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7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4"/>
        <v>72163.305000000008</v>
      </c>
      <c r="K151" s="4">
        <f t="shared" si="76"/>
        <v>208.65600000000003</v>
      </c>
      <c r="L151" s="1">
        <f>C151+16</f>
        <v>45931</v>
      </c>
      <c r="M151" s="21">
        <f t="shared" si="77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8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4"/>
        <v>152731.7064</v>
      </c>
      <c r="K152" s="32">
        <f t="shared" si="76"/>
        <v>335.67408000000006</v>
      </c>
      <c r="L152" s="28">
        <f>D152+150</f>
        <v>46068</v>
      </c>
      <c r="M152" s="74">
        <f t="shared" si="77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4"/>
        <v>72114.137499999997</v>
      </c>
      <c r="K153" s="4">
        <f t="shared" ref="K153:K229" si="89">I153*1.05</f>
        <v>195.5625</v>
      </c>
      <c r="L153" s="1">
        <f>C153+16</f>
        <v>45944</v>
      </c>
      <c r="M153" s="21">
        <f t="shared" si="77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90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4"/>
        <v>112527.9071</v>
      </c>
      <c r="K154" s="4">
        <f t="shared" si="89"/>
        <v>339.62145000000004</v>
      </c>
      <c r="L154" s="1">
        <f t="shared" ref="L154:L155" si="91">D154+18</f>
        <v>45953</v>
      </c>
      <c r="M154" s="21">
        <f t="shared" si="77"/>
        <v>118154.30245500001</v>
      </c>
      <c r="N154" s="22" t="s">
        <v>99</v>
      </c>
      <c r="O154" s="2"/>
      <c r="P154" s="7">
        <f t="shared" ref="P154:P155" si="92">DAYS360(L154,W154)-(1)</f>
        <v>14</v>
      </c>
      <c r="Q154" s="66">
        <f t="shared" ref="Q154:Q156" si="93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4"/>
        <v>56263.953549999998</v>
      </c>
      <c r="K155" s="4">
        <f t="shared" si="89"/>
        <v>339.62145000000004</v>
      </c>
      <c r="L155" s="1">
        <f t="shared" si="91"/>
        <v>45953</v>
      </c>
      <c r="M155" s="21">
        <f t="shared" si="77"/>
        <v>59077.151227500006</v>
      </c>
      <c r="N155" s="22" t="s">
        <v>99</v>
      </c>
      <c r="O155" s="2"/>
      <c r="P155" s="7">
        <f t="shared" si="92"/>
        <v>14</v>
      </c>
      <c r="Q155" s="66">
        <f t="shared" si="93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 hidden="1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4"/>
        <v>89680</v>
      </c>
      <c r="K156" s="4">
        <f t="shared" si="89"/>
        <v>309.75</v>
      </c>
      <c r="L156" s="1">
        <f>D156+18</f>
        <v>45957</v>
      </c>
      <c r="M156" s="21">
        <f t="shared" si="77"/>
        <v>94164</v>
      </c>
      <c r="N156" s="22" t="s">
        <v>97</v>
      </c>
      <c r="O156" s="2"/>
      <c r="P156" s="7">
        <f>DAYS360(L156,W156)-(1)</f>
        <v>-6</v>
      </c>
      <c r="Q156" s="66">
        <f t="shared" si="93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4"/>
        <v>117916.79460000001</v>
      </c>
      <c r="K157" s="4">
        <f t="shared" si="89"/>
        <v>339.45450000000005</v>
      </c>
      <c r="L157" s="1">
        <f>D157+18</f>
        <v>45959</v>
      </c>
      <c r="M157" s="21">
        <f t="shared" si="77"/>
        <v>123812.63433000002</v>
      </c>
      <c r="N157" s="22" t="s">
        <v>99</v>
      </c>
      <c r="O157" s="2"/>
      <c r="P157" s="7">
        <f t="shared" ref="P157:P161" si="94">DAYS360(L157,W157)-(1)</f>
        <v>8</v>
      </c>
      <c r="Q157" s="66">
        <f t="shared" ref="Q157:Q161" si="95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4"/>
        <v>71998.662500000006</v>
      </c>
      <c r="K158" s="4">
        <f t="shared" si="89"/>
        <v>195.5625</v>
      </c>
      <c r="L158" s="1">
        <f t="shared" ref="L158:L161" si="96">C158+16</f>
        <v>45959</v>
      </c>
      <c r="M158" s="21">
        <f t="shared" si="77"/>
        <v>75598.595625000002</v>
      </c>
      <c r="N158" s="22" t="s">
        <v>98</v>
      </c>
      <c r="O158" s="2"/>
      <c r="P158" s="7">
        <f t="shared" si="94"/>
        <v>8</v>
      </c>
      <c r="Q158" s="66">
        <f t="shared" si="95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4"/>
        <v>127926.63499999999</v>
      </c>
      <c r="K159" s="4">
        <f t="shared" si="89"/>
        <v>173.51250000000002</v>
      </c>
      <c r="L159" s="1">
        <f t="shared" si="96"/>
        <v>45960</v>
      </c>
      <c r="M159" s="21">
        <f t="shared" si="77"/>
        <v>134322.96675000002</v>
      </c>
      <c r="N159" s="22" t="s">
        <v>98</v>
      </c>
      <c r="O159" s="2"/>
      <c r="P159" s="7">
        <f t="shared" si="94"/>
        <v>7</v>
      </c>
      <c r="Q159" s="66">
        <f t="shared" si="95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4"/>
        <v>63736.924999999996</v>
      </c>
      <c r="K160" s="4">
        <f t="shared" si="89"/>
        <v>173.51250000000002</v>
      </c>
      <c r="L160" s="1">
        <f t="shared" si="96"/>
        <v>45960</v>
      </c>
      <c r="M160" s="21">
        <f t="shared" si="77"/>
        <v>66923.771250000005</v>
      </c>
      <c r="N160" s="22" t="s">
        <v>98</v>
      </c>
      <c r="O160" s="2"/>
      <c r="P160" s="7">
        <f t="shared" si="94"/>
        <v>7</v>
      </c>
      <c r="Q160" s="66">
        <f t="shared" si="95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4"/>
        <v>128143.52399999999</v>
      </c>
      <c r="K161" s="4">
        <f t="shared" si="89"/>
        <v>174.51</v>
      </c>
      <c r="L161" s="1">
        <f t="shared" si="96"/>
        <v>45963</v>
      </c>
      <c r="M161" s="21">
        <f t="shared" si="77"/>
        <v>134550.70019999999</v>
      </c>
      <c r="N161" s="22" t="s">
        <v>98</v>
      </c>
      <c r="O161" s="2"/>
      <c r="P161" s="7">
        <f t="shared" si="94"/>
        <v>5</v>
      </c>
      <c r="Q161" s="66">
        <f t="shared" si="95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4"/>
        <v>58958.397300000004</v>
      </c>
      <c r="K162" s="4">
        <f t="shared" si="89"/>
        <v>339.45450000000005</v>
      </c>
      <c r="L162" s="1">
        <f t="shared" ref="L162:L163" si="97">D162+18</f>
        <v>45964</v>
      </c>
      <c r="M162" s="21">
        <f t="shared" si="77"/>
        <v>61906.317165000008</v>
      </c>
      <c r="N162" s="22" t="s">
        <v>99</v>
      </c>
      <c r="O162" s="2"/>
      <c r="P162" s="7">
        <f t="shared" ref="P162:P183" si="98">DAYS360(L162,W162)-(1)</f>
        <v>4</v>
      </c>
      <c r="Q162" s="66">
        <f t="shared" ref="Q162:Q169" si="99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4"/>
        <v>58958.397300000004</v>
      </c>
      <c r="K163" s="32">
        <f t="shared" si="89"/>
        <v>339.45450000000005</v>
      </c>
      <c r="L163" s="35">
        <f t="shared" si="97"/>
        <v>45965</v>
      </c>
      <c r="M163" s="81">
        <f t="shared" si="77"/>
        <v>61906.317165000008</v>
      </c>
      <c r="N163" s="80" t="s">
        <v>99</v>
      </c>
      <c r="O163" s="30"/>
      <c r="P163" s="7">
        <f t="shared" si="98"/>
        <v>3</v>
      </c>
      <c r="Q163" s="66">
        <f t="shared" si="99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4"/>
        <v>119708.553464</v>
      </c>
      <c r="K164" s="4">
        <f t="shared" si="89"/>
        <v>339.40158000000002</v>
      </c>
      <c r="L164" s="1">
        <f>C164+18</f>
        <v>45973</v>
      </c>
      <c r="M164" s="21">
        <f t="shared" si="77"/>
        <v>125693.9811372</v>
      </c>
      <c r="N164" s="22" t="s">
        <v>99</v>
      </c>
      <c r="O164" s="2"/>
      <c r="P164" s="7">
        <f t="shared" si="98"/>
        <v>-2</v>
      </c>
      <c r="Q164" s="66">
        <f t="shared" si="99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4"/>
        <v>119708.553464</v>
      </c>
      <c r="K165" s="4">
        <f t="shared" si="89"/>
        <v>339.40158000000002</v>
      </c>
      <c r="L165" s="1">
        <f>C165+18</f>
        <v>45973</v>
      </c>
      <c r="M165" s="21">
        <f t="shared" si="77"/>
        <v>125693.9811372</v>
      </c>
      <c r="N165" s="22" t="s">
        <v>99</v>
      </c>
      <c r="O165" s="2"/>
      <c r="P165" s="7">
        <f t="shared" si="98"/>
        <v>-2</v>
      </c>
      <c r="Q165" s="66">
        <f t="shared" si="99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4"/>
        <v>127890.9</v>
      </c>
      <c r="K166" s="4">
        <f t="shared" si="89"/>
        <v>174.51</v>
      </c>
      <c r="L166" s="1">
        <f t="shared" ref="L166:L169" si="100">C166+16</f>
        <v>45976</v>
      </c>
      <c r="M166" s="21">
        <f t="shared" si="77"/>
        <v>134285.44500000001</v>
      </c>
      <c r="N166" s="22" t="s">
        <v>98</v>
      </c>
      <c r="O166" s="2"/>
      <c r="P166" s="7">
        <f t="shared" si="98"/>
        <v>3</v>
      </c>
      <c r="Q166" s="66">
        <f t="shared" si="99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4"/>
        <v>63993.648000000001</v>
      </c>
      <c r="K167" s="91">
        <f t="shared" si="89"/>
        <v>174.51</v>
      </c>
      <c r="L167" s="87">
        <f t="shared" si="100"/>
        <v>45976</v>
      </c>
      <c r="M167" s="92">
        <f t="shared" si="77"/>
        <v>67193.330400000006</v>
      </c>
      <c r="N167" s="93" t="s">
        <v>98</v>
      </c>
      <c r="O167" s="89"/>
      <c r="P167" s="94">
        <f t="shared" si="98"/>
        <v>3</v>
      </c>
      <c r="Q167" s="96">
        <f t="shared" si="99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4"/>
        <v>10144</v>
      </c>
      <c r="K168" s="4">
        <f t="shared" si="89"/>
        <v>332.85</v>
      </c>
      <c r="L168" s="87">
        <f t="shared" si="100"/>
        <v>45978</v>
      </c>
      <c r="M168" s="21">
        <f t="shared" si="77"/>
        <v>10651.2</v>
      </c>
      <c r="N168" s="98" t="s">
        <v>97</v>
      </c>
      <c r="O168" s="2"/>
      <c r="P168" s="7">
        <f t="shared" si="98"/>
        <v>86</v>
      </c>
      <c r="Q168" s="66">
        <f t="shared" si="99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4"/>
        <v>63796.415000000001</v>
      </c>
      <c r="K169" s="4">
        <f t="shared" si="89"/>
        <v>173.51250000000002</v>
      </c>
      <c r="L169" s="1">
        <f t="shared" si="100"/>
        <v>45984</v>
      </c>
      <c r="M169" s="21">
        <f t="shared" si="77"/>
        <v>66986.235750000007</v>
      </c>
      <c r="N169" s="22" t="s">
        <v>98</v>
      </c>
      <c r="O169" s="2"/>
      <c r="P169" s="7">
        <f t="shared" si="98"/>
        <v>-5</v>
      </c>
      <c r="Q169" s="66">
        <f t="shared" si="99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4"/>
        <v>13594.3</v>
      </c>
      <c r="K170" s="4">
        <f t="shared" si="89"/>
        <v>351.75</v>
      </c>
      <c r="L170" s="1">
        <f>D170+45</f>
        <v>46019</v>
      </c>
      <c r="M170" s="21">
        <f t="shared" si="77"/>
        <v>14274.014999999999</v>
      </c>
      <c r="N170" s="22" t="s">
        <v>97</v>
      </c>
      <c r="O170" s="2"/>
      <c r="P170" s="7">
        <f t="shared" si="98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4"/>
        <v>58958.032560000007</v>
      </c>
      <c r="K171" s="4">
        <f t="shared" si="89"/>
        <v>339.45240000000001</v>
      </c>
      <c r="L171" s="1">
        <f t="shared" si="78"/>
        <v>45991</v>
      </c>
      <c r="M171" s="21">
        <f t="shared" si="77"/>
        <v>61905.934188000007</v>
      </c>
      <c r="N171" s="22" t="s">
        <v>97</v>
      </c>
      <c r="O171" s="2"/>
      <c r="P171" s="7">
        <f t="shared" si="98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4"/>
        <v>59744.743759999998</v>
      </c>
      <c r="K172" s="4">
        <f t="shared" si="89"/>
        <v>328.80119999999999</v>
      </c>
      <c r="L172" s="1">
        <f t="shared" si="78"/>
        <v>45991</v>
      </c>
      <c r="M172" s="21">
        <f t="shared" si="77"/>
        <v>62731.980947999997</v>
      </c>
      <c r="N172" s="22" t="s">
        <v>97</v>
      </c>
      <c r="O172" s="2"/>
      <c r="P172" s="7">
        <f t="shared" si="98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4"/>
        <v>119489.48752</v>
      </c>
      <c r="K173" s="4">
        <f t="shared" si="89"/>
        <v>328.80119999999999</v>
      </c>
      <c r="L173" s="1">
        <f t="shared" si="78"/>
        <v>45991</v>
      </c>
      <c r="M173" s="21">
        <f t="shared" si="77"/>
        <v>125463.96189599999</v>
      </c>
      <c r="N173" s="22" t="s">
        <v>97</v>
      </c>
      <c r="O173" s="2"/>
      <c r="P173" s="7">
        <f t="shared" si="98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 hidden="1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4"/>
        <v>113863.61599999998</v>
      </c>
      <c r="K174" s="4">
        <f t="shared" si="89"/>
        <v>154.56</v>
      </c>
      <c r="L174" s="1">
        <f t="shared" si="78"/>
        <v>45991</v>
      </c>
      <c r="M174" s="21">
        <f t="shared" si="77"/>
        <v>119556.7968</v>
      </c>
      <c r="N174" s="22" t="s">
        <v>99</v>
      </c>
      <c r="O174" s="2"/>
      <c r="P174" s="7">
        <f t="shared" si="98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 hidden="1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4"/>
        <v>56939.903999999995</v>
      </c>
      <c r="K175" s="4">
        <f t="shared" si="89"/>
        <v>154.56</v>
      </c>
      <c r="L175" s="1">
        <f>D175+18</f>
        <v>45996</v>
      </c>
      <c r="M175" s="21">
        <f t="shared" si="77"/>
        <v>59786.8992</v>
      </c>
      <c r="N175" s="22" t="s">
        <v>99</v>
      </c>
      <c r="O175" s="2"/>
      <c r="P175" s="7">
        <f t="shared" si="98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4"/>
        <v>63515.474999999999</v>
      </c>
      <c r="K176" s="4">
        <f t="shared" si="89"/>
        <v>172.46250000000001</v>
      </c>
      <c r="L176" s="1">
        <f t="shared" ref="L176:L178" si="101">D176+18</f>
        <v>45995</v>
      </c>
      <c r="M176" s="21">
        <f t="shared" si="77"/>
        <v>66691.248749999999</v>
      </c>
      <c r="N176" s="22" t="s">
        <v>99</v>
      </c>
      <c r="O176" s="2"/>
      <c r="P176" s="7">
        <f t="shared" si="98"/>
        <v>26</v>
      </c>
      <c r="Q176" s="66">
        <f t="shared" ref="Q176:Q178" si="102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4"/>
        <v>63836.583999999995</v>
      </c>
      <c r="K177" s="4">
        <f t="shared" si="89"/>
        <v>173.46</v>
      </c>
      <c r="L177" s="1">
        <f t="shared" si="101"/>
        <v>45996</v>
      </c>
      <c r="M177" s="21">
        <f t="shared" si="77"/>
        <v>67028.41320000001</v>
      </c>
      <c r="N177" s="22" t="s">
        <v>99</v>
      </c>
      <c r="O177" s="2"/>
      <c r="P177" s="7">
        <f t="shared" si="98"/>
        <v>25</v>
      </c>
      <c r="Q177" s="66">
        <f t="shared" si="102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4"/>
        <v>63810.151999999995</v>
      </c>
      <c r="K178" s="4">
        <f t="shared" si="89"/>
        <v>173.46</v>
      </c>
      <c r="L178" s="1">
        <f t="shared" si="101"/>
        <v>45999</v>
      </c>
      <c r="M178" s="21">
        <f t="shared" si="77"/>
        <v>67000.659599999999</v>
      </c>
      <c r="N178" s="22" t="s">
        <v>99</v>
      </c>
      <c r="O178" s="2"/>
      <c r="P178" s="7">
        <f t="shared" si="98"/>
        <v>22</v>
      </c>
      <c r="Q178" s="66">
        <f t="shared" si="102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 hidden="1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4"/>
        <v>75264</v>
      </c>
      <c r="K179" s="4">
        <f t="shared" si="89"/>
        <v>308.7</v>
      </c>
      <c r="L179" s="1">
        <f>D179+18</f>
        <v>46000</v>
      </c>
      <c r="M179" s="21">
        <f t="shared" si="77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4"/>
        <v>64061.255999999994</v>
      </c>
      <c r="K180" s="4">
        <f t="shared" si="89"/>
        <v>173.46</v>
      </c>
      <c r="L180" s="1">
        <f t="shared" ref="L180" si="103">D180+18</f>
        <v>46001</v>
      </c>
      <c r="M180" s="21">
        <f t="shared" si="77"/>
        <v>67264.318799999994</v>
      </c>
      <c r="N180" s="22" t="s">
        <v>99</v>
      </c>
      <c r="O180" s="2"/>
      <c r="P180" s="7">
        <f t="shared" si="98"/>
        <v>20</v>
      </c>
      <c r="Q180" s="66">
        <f t="shared" ref="Q180" si="104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 hidden="1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4"/>
        <v>143274.86816400001</v>
      </c>
      <c r="K181" s="4">
        <f t="shared" si="89"/>
        <v>195.00001500000002</v>
      </c>
      <c r="L181" s="1">
        <f>D181+18</f>
        <v>46003</v>
      </c>
      <c r="M181" s="21">
        <f t="shared" si="77"/>
        <v>150438.61157220002</v>
      </c>
      <c r="N181" s="22" t="s">
        <v>99</v>
      </c>
      <c r="O181" s="2"/>
      <c r="P181" s="7">
        <f t="shared" si="98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 hidden="1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4"/>
        <v>177241.02813600001</v>
      </c>
      <c r="K182" s="4">
        <f t="shared" si="89"/>
        <v>160.999965</v>
      </c>
      <c r="L182" s="1">
        <f>D182+18</f>
        <v>46008</v>
      </c>
      <c r="M182" s="21">
        <f t="shared" si="77"/>
        <v>186103.07954280003</v>
      </c>
      <c r="N182" s="22" t="s">
        <v>99</v>
      </c>
      <c r="O182" s="2"/>
      <c r="P182" s="7">
        <f t="shared" si="98"/>
        <v>11</v>
      </c>
      <c r="Q182" s="66">
        <f t="shared" ref="Q182:Q183" si="105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 hidden="1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4"/>
        <v>74840.639999999999</v>
      </c>
      <c r="K183" s="4">
        <f t="shared" si="89"/>
        <v>308.7</v>
      </c>
      <c r="L183" s="1">
        <f>D183+18</f>
        <v>46009</v>
      </c>
      <c r="M183" s="21">
        <f t="shared" si="77"/>
        <v>78582.671999999991</v>
      </c>
      <c r="N183" s="22" t="s">
        <v>99</v>
      </c>
      <c r="O183" s="2"/>
      <c r="P183" s="7">
        <f t="shared" si="98"/>
        <v>10</v>
      </c>
      <c r="Q183" s="66">
        <f t="shared" si="105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4"/>
        <v>523188.75</v>
      </c>
      <c r="K184" s="91">
        <f t="shared" si="89"/>
        <v>498.75</v>
      </c>
      <c r="L184" s="87"/>
      <c r="M184" s="92">
        <f t="shared" si="77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 hidden="1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4"/>
        <v>82420</v>
      </c>
      <c r="K185" s="4">
        <f t="shared" si="89"/>
        <v>332.85</v>
      </c>
      <c r="L185" s="1">
        <f>D185+18</f>
        <v>46011</v>
      </c>
      <c r="M185" s="21">
        <f t="shared" si="77"/>
        <v>86541</v>
      </c>
      <c r="N185" s="22" t="s">
        <v>99</v>
      </c>
      <c r="O185" s="2"/>
      <c r="P185" s="7">
        <f>DAYS360(L185,W185)-(1)</f>
        <v>8</v>
      </c>
      <c r="Q185" s="66">
        <f t="shared" ref="Q185:Q187" si="106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4"/>
        <v>198571.42500000002</v>
      </c>
      <c r="K186" s="4">
        <f t="shared" si="89"/>
        <v>277.99999500000001</v>
      </c>
      <c r="L186" s="1">
        <f t="shared" ref="L186:L229" si="107">D186+16</f>
        <v>46009</v>
      </c>
      <c r="M186" s="21">
        <f t="shared" si="77"/>
        <v>208499.99625</v>
      </c>
      <c r="N186" s="22" t="s">
        <v>99</v>
      </c>
      <c r="O186" s="2"/>
      <c r="P186" s="7">
        <f t="shared" ref="P186:P190" si="108">DAYS360(L186,W186)-(1)</f>
        <v>-17</v>
      </c>
      <c r="Q186" s="66">
        <f t="shared" si="106"/>
        <v>-1747.97257130137</v>
      </c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4"/>
        <v>65663.598819000006</v>
      </c>
      <c r="K187" s="4">
        <f t="shared" si="89"/>
        <v>277.99999500000001</v>
      </c>
      <c r="L187" s="1">
        <f t="shared" si="107"/>
        <v>46009</v>
      </c>
      <c r="M187" s="21">
        <f t="shared" si="77"/>
        <v>68946.778759950001</v>
      </c>
      <c r="N187" s="22" t="s">
        <v>99</v>
      </c>
      <c r="O187" s="2"/>
      <c r="P187" s="7">
        <f t="shared" si="108"/>
        <v>-17</v>
      </c>
      <c r="Q187" s="66">
        <f t="shared" si="106"/>
        <v>-578.01956987793699</v>
      </c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 hidden="1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4"/>
        <v>214108.15932700003</v>
      </c>
      <c r="K188" s="4">
        <f t="shared" si="89"/>
        <v>195.00001500000002</v>
      </c>
      <c r="L188" s="1">
        <f>D188+18</f>
        <v>46012</v>
      </c>
      <c r="M188" s="21">
        <f t="shared" si="77"/>
        <v>224813.56729335003</v>
      </c>
      <c r="N188" s="22" t="s">
        <v>99</v>
      </c>
      <c r="O188" s="2"/>
      <c r="P188" s="7">
        <f t="shared" si="108"/>
        <v>39</v>
      </c>
      <c r="Q188" s="66">
        <f t="shared" ref="Q188:Q190" si="109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 hidden="1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4"/>
        <v>73425.119999999995</v>
      </c>
      <c r="K189" s="4">
        <f t="shared" si="89"/>
        <v>305.55</v>
      </c>
      <c r="L189" s="1">
        <f>D189+18</f>
        <v>46015</v>
      </c>
      <c r="M189" s="21">
        <f t="shared" si="77"/>
        <v>77096.376000000004</v>
      </c>
      <c r="N189" s="22" t="s">
        <v>99</v>
      </c>
      <c r="O189" s="2"/>
      <c r="P189" s="7">
        <f t="shared" si="108"/>
        <v>36</v>
      </c>
      <c r="Q189" s="66">
        <f t="shared" si="109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4"/>
        <v>169602.23399999997</v>
      </c>
      <c r="K190" s="4">
        <f t="shared" si="89"/>
        <v>153.51</v>
      </c>
      <c r="L190" s="1">
        <f t="shared" ref="L190" si="110">D190+18</f>
        <v>46015</v>
      </c>
      <c r="M190" s="21">
        <f t="shared" si="77"/>
        <v>178082.34569999998</v>
      </c>
      <c r="N190" s="22" t="s">
        <v>98</v>
      </c>
      <c r="O190" s="2"/>
      <c r="P190" s="7">
        <f t="shared" si="108"/>
        <v>54</v>
      </c>
      <c r="Q190" s="66">
        <f t="shared" si="109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 hidden="1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4"/>
        <v>82420</v>
      </c>
      <c r="K191" s="4">
        <f t="shared" si="89"/>
        <v>332.85</v>
      </c>
      <c r="L191" s="1">
        <f>D191+18</f>
        <v>46020</v>
      </c>
      <c r="M191" s="21">
        <f t="shared" si="77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11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4"/>
        <v>112728.97199999998</v>
      </c>
      <c r="K192" s="4">
        <f t="shared" si="89"/>
        <v>153.51</v>
      </c>
      <c r="L192" s="1">
        <f t="shared" ref="L192" si="112">D192+18</f>
        <v>46021</v>
      </c>
      <c r="M192" s="21">
        <f t="shared" si="77"/>
        <v>118365.42059999998</v>
      </c>
      <c r="N192" s="22" t="s">
        <v>98</v>
      </c>
      <c r="O192" s="2"/>
      <c r="P192" s="7">
        <f t="shared" ref="P192" si="113">DAYS360(L192,W192)-(1)</f>
        <v>48</v>
      </c>
      <c r="Q192" s="66">
        <f t="shared" si="111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 hidden="1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4"/>
        <v>210205.16498400003</v>
      </c>
      <c r="K193" s="4">
        <f t="shared" si="89"/>
        <v>190.00002000000001</v>
      </c>
      <c r="L193" s="1">
        <f>D193+18</f>
        <v>46022</v>
      </c>
      <c r="M193" s="21">
        <f t="shared" si="77"/>
        <v>220715.42323320001</v>
      </c>
      <c r="N193" s="22" t="s">
        <v>99</v>
      </c>
      <c r="O193" s="2"/>
      <c r="P193" s="7">
        <f t="shared" ref="P193:P195" si="114">DAYS360(L193,W193)-(1)</f>
        <v>40</v>
      </c>
      <c r="Q193" s="66">
        <f t="shared" ref="Q193:Q195" si="115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 hidden="1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4"/>
        <v>73619.040000000008</v>
      </c>
      <c r="K194" s="4">
        <f t="shared" si="89"/>
        <v>306.60000000000002</v>
      </c>
      <c r="L194" s="1">
        <f>D194+18</f>
        <v>46026</v>
      </c>
      <c r="M194" s="21">
        <f t="shared" si="77"/>
        <v>77299.992000000013</v>
      </c>
      <c r="N194" s="22" t="s">
        <v>99</v>
      </c>
      <c r="O194" s="2"/>
      <c r="P194" s="7">
        <f t="shared" si="114"/>
        <v>37</v>
      </c>
      <c r="Q194" s="66">
        <f t="shared" si="115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 hidden="1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4"/>
        <v>147787.04</v>
      </c>
      <c r="K195" s="4">
        <f t="shared" si="89"/>
        <v>306.60000000000002</v>
      </c>
      <c r="L195" s="1">
        <f>D195+18</f>
        <v>46039</v>
      </c>
      <c r="M195" s="21">
        <f t="shared" si="77"/>
        <v>155176.39200000002</v>
      </c>
      <c r="N195" s="22" t="s">
        <v>99</v>
      </c>
      <c r="O195" s="2"/>
      <c r="P195" s="7">
        <f t="shared" si="114"/>
        <v>24</v>
      </c>
      <c r="Q195" s="66">
        <f t="shared" si="115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4"/>
        <v>54493.35</v>
      </c>
      <c r="K196" s="4">
        <f t="shared" si="89"/>
        <v>488.25</v>
      </c>
      <c r="L196" s="1">
        <f t="shared" si="107"/>
        <v>46038</v>
      </c>
      <c r="M196" s="21">
        <f t="shared" si="77"/>
        <v>57218.017500000002</v>
      </c>
      <c r="N196" s="22" t="s">
        <v>97</v>
      </c>
      <c r="O196" s="2"/>
      <c r="P196" s="7">
        <f t="shared" ref="P196:P229" ca="1" si="116">DAYS360(L196,TODAY())-(1)</f>
        <v>173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 hidden="1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4"/>
        <v>208738.80000000002</v>
      </c>
      <c r="K197" s="4">
        <f t="shared" si="89"/>
        <v>189</v>
      </c>
      <c r="L197" s="1">
        <f>D197+18</f>
        <v>46043</v>
      </c>
      <c r="M197" s="21">
        <f t="shared" si="77"/>
        <v>219175.74000000002</v>
      </c>
      <c r="N197" s="22" t="s">
        <v>99</v>
      </c>
      <c r="O197" s="2"/>
      <c r="P197" s="7">
        <f t="shared" ref="P197:P201" si="117">DAYS360(L197,W197)-(1)</f>
        <v>20</v>
      </c>
      <c r="Q197" s="66">
        <f t="shared" ref="Q197:Q201" si="118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 hidden="1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4"/>
        <v>139158</v>
      </c>
      <c r="K198" s="4">
        <f t="shared" si="89"/>
        <v>189</v>
      </c>
      <c r="L198" s="1">
        <f>D198+18</f>
        <v>46043</v>
      </c>
      <c r="M198" s="21">
        <f t="shared" si="77"/>
        <v>146115.9</v>
      </c>
      <c r="N198" s="22" t="s">
        <v>99</v>
      </c>
      <c r="O198" s="2"/>
      <c r="P198" s="7">
        <f t="shared" si="117"/>
        <v>22</v>
      </c>
      <c r="Q198" s="66">
        <f t="shared" si="118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 hidden="1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4"/>
        <v>139114.79999999999</v>
      </c>
      <c r="K199" s="4">
        <f t="shared" si="89"/>
        <v>189</v>
      </c>
      <c r="L199" s="1">
        <f>D199+18</f>
        <v>46043</v>
      </c>
      <c r="M199" s="21">
        <f t="shared" si="77"/>
        <v>146070.54</v>
      </c>
      <c r="N199" s="22" t="s">
        <v>99</v>
      </c>
      <c r="O199" s="2"/>
      <c r="P199" s="7">
        <f t="shared" si="117"/>
        <v>22</v>
      </c>
      <c r="Q199" s="66">
        <f t="shared" si="118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4"/>
        <v>267541.89995000005</v>
      </c>
      <c r="K200" s="4">
        <f t="shared" si="89"/>
        <v>277.99999500000001</v>
      </c>
      <c r="L200" s="1">
        <f t="shared" si="107"/>
        <v>46043</v>
      </c>
      <c r="M200" s="21">
        <f t="shared" si="77"/>
        <v>280918.9949475</v>
      </c>
      <c r="N200" s="22" t="s">
        <v>99</v>
      </c>
      <c r="O200" s="2"/>
      <c r="P200" s="7">
        <f t="shared" si="117"/>
        <v>27</v>
      </c>
      <c r="Q200" s="66">
        <f t="shared" si="118"/>
        <v>3740.4556587530133</v>
      </c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4"/>
        <v>37527.200000000004</v>
      </c>
      <c r="K201" s="4">
        <f t="shared" si="89"/>
        <v>128.1</v>
      </c>
      <c r="L201" s="1">
        <f t="shared" si="107"/>
        <v>46045</v>
      </c>
      <c r="M201" s="21">
        <f t="shared" si="77"/>
        <v>39403.56</v>
      </c>
      <c r="N201" s="22" t="s">
        <v>99</v>
      </c>
      <c r="O201" s="2"/>
      <c r="P201" s="7">
        <f t="shared" si="117"/>
        <v>42</v>
      </c>
      <c r="Q201" s="66">
        <f t="shared" si="118"/>
        <v>816.13948931506843</v>
      </c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 hidden="1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4"/>
        <v>36039.200000000004</v>
      </c>
      <c r="K202" s="4">
        <f t="shared" si="89"/>
        <v>199.5</v>
      </c>
      <c r="L202" s="1">
        <f>D202+18</f>
        <v>46053</v>
      </c>
      <c r="M202" s="21">
        <f t="shared" si="77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7" si="119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 hidden="1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4"/>
        <v>234133.70292000001</v>
      </c>
      <c r="K203" s="4">
        <f t="shared" si="89"/>
        <v>308.99998500000004</v>
      </c>
      <c r="L203" s="1">
        <f>D203+18</f>
        <v>46053</v>
      </c>
      <c r="M203" s="21">
        <f t="shared" si="77"/>
        <v>245840.38806600004</v>
      </c>
      <c r="N203" s="22" t="s">
        <v>99</v>
      </c>
      <c r="O203" s="2"/>
      <c r="P203" s="7">
        <f t="shared" ref="P203:P207" si="120">DAYS360(L203,W203)-(1)</f>
        <v>27</v>
      </c>
      <c r="Q203" s="66">
        <f t="shared" si="119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 hidden="1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4"/>
        <v>141120</v>
      </c>
      <c r="K204" s="4">
        <f t="shared" si="89"/>
        <v>308.7</v>
      </c>
      <c r="L204" s="1">
        <f>D204+18</f>
        <v>46056</v>
      </c>
      <c r="M204" s="21">
        <f t="shared" si="77"/>
        <v>148176</v>
      </c>
      <c r="N204" s="22" t="s">
        <v>99</v>
      </c>
      <c r="O204" s="2"/>
      <c r="P204" s="7">
        <f t="shared" si="120"/>
        <v>24</v>
      </c>
      <c r="Q204" s="66">
        <f t="shared" si="119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4"/>
        <v>90600</v>
      </c>
      <c r="K205" s="4">
        <f t="shared" si="89"/>
        <v>317.10000000000002</v>
      </c>
      <c r="L205" s="1">
        <f t="shared" si="107"/>
        <v>46054</v>
      </c>
      <c r="M205" s="21">
        <f t="shared" si="77"/>
        <v>95130</v>
      </c>
      <c r="N205" s="22" t="s">
        <v>99</v>
      </c>
      <c r="O205" s="2"/>
      <c r="P205" s="7">
        <f t="shared" si="120"/>
        <v>34</v>
      </c>
      <c r="Q205" s="66">
        <f t="shared" si="119"/>
        <v>1595.0564383561643</v>
      </c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4"/>
        <v>50145.903860000006</v>
      </c>
      <c r="K206" s="4">
        <f t="shared" si="89"/>
        <v>277.99999500000001</v>
      </c>
      <c r="L206" s="1">
        <f t="shared" si="107"/>
        <v>46055</v>
      </c>
      <c r="M206" s="21">
        <f t="shared" si="77"/>
        <v>52653.199053000004</v>
      </c>
      <c r="N206" s="22" t="s">
        <v>99</v>
      </c>
      <c r="O206" s="2"/>
      <c r="P206" s="7">
        <f t="shared" si="120"/>
        <v>33</v>
      </c>
      <c r="Q206" s="66">
        <f t="shared" si="119"/>
        <v>856.87671883512326</v>
      </c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4"/>
        <v>209214.85338000004</v>
      </c>
      <c r="K207" s="4">
        <f t="shared" si="89"/>
        <v>277.99999500000001</v>
      </c>
      <c r="L207" s="1">
        <f t="shared" si="107"/>
        <v>46055</v>
      </c>
      <c r="M207" s="21">
        <f t="shared" si="77"/>
        <v>219675.59604900001</v>
      </c>
      <c r="N207" s="22" t="s">
        <v>99</v>
      </c>
      <c r="O207" s="2"/>
      <c r="P207" s="7">
        <f t="shared" si="120"/>
        <v>33</v>
      </c>
      <c r="Q207" s="66">
        <f t="shared" si="119"/>
        <v>3574.9946315919451</v>
      </c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 hidden="1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4"/>
        <v>117035.51999999999</v>
      </c>
      <c r="K208" s="4">
        <f t="shared" si="89"/>
        <v>308.7</v>
      </c>
      <c r="L208" s="1">
        <f>D208+18</f>
        <v>46061</v>
      </c>
      <c r="M208" s="21">
        <f t="shared" si="77"/>
        <v>122887.29599999999</v>
      </c>
      <c r="N208" s="22" t="s">
        <v>99</v>
      </c>
      <c r="O208" s="2"/>
      <c r="P208" s="7">
        <f t="shared" ref="P208:P219" si="121">DAYS360(L208,W208)-(1)</f>
        <v>19</v>
      </c>
      <c r="Q208" s="66">
        <f t="shared" ref="Q208:Q211" si="122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idden="1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4"/>
        <v>93444.959999999992</v>
      </c>
      <c r="K209" s="4">
        <f t="shared" si="89"/>
        <v>308.7</v>
      </c>
      <c r="L209" s="1">
        <f>D209+18</f>
        <v>46062</v>
      </c>
      <c r="M209" s="21">
        <f t="shared" si="77"/>
        <v>98117.207999999984</v>
      </c>
      <c r="N209" s="22" t="s">
        <v>99</v>
      </c>
      <c r="O209" s="2"/>
      <c r="P209" s="7">
        <f t="shared" si="121"/>
        <v>18</v>
      </c>
      <c r="Q209" s="66">
        <f t="shared" si="122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4"/>
        <v>144397.83399999997</v>
      </c>
      <c r="K210" s="4">
        <f t="shared" si="89"/>
        <v>299.99549999999999</v>
      </c>
      <c r="L210" s="1">
        <f t="shared" si="107"/>
        <v>46064</v>
      </c>
      <c r="M210" s="21">
        <f t="shared" si="77"/>
        <v>151617.72569999998</v>
      </c>
      <c r="N210" s="22" t="s">
        <v>99</v>
      </c>
      <c r="O210" s="2"/>
      <c r="P210" s="7">
        <f t="shared" si="121"/>
        <v>32</v>
      </c>
      <c r="Q210" s="66">
        <f t="shared" si="122"/>
        <v>2392.6523288547942</v>
      </c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4"/>
        <v>144589.2597</v>
      </c>
      <c r="K211" s="4">
        <f t="shared" si="89"/>
        <v>299.99549999999999</v>
      </c>
      <c r="L211" s="1">
        <f t="shared" si="107"/>
        <v>46067</v>
      </c>
      <c r="M211" s="21">
        <f t="shared" si="77"/>
        <v>151818.72268499999</v>
      </c>
      <c r="N211" s="22" t="s">
        <v>99</v>
      </c>
      <c r="O211" s="2"/>
      <c r="P211" s="7">
        <f t="shared" si="121"/>
        <v>29</v>
      </c>
      <c r="Q211" s="66">
        <f t="shared" si="122"/>
        <v>2171.2157052484927</v>
      </c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4"/>
        <v>9216</v>
      </c>
      <c r="K212" s="4">
        <f t="shared" si="89"/>
        <v>201.60000000000002</v>
      </c>
      <c r="L212" s="1">
        <f t="shared" si="107"/>
        <v>46071</v>
      </c>
      <c r="M212" s="21">
        <f t="shared" si="77"/>
        <v>9676.8000000000011</v>
      </c>
      <c r="N212" s="22" t="s">
        <v>97</v>
      </c>
      <c r="O212" s="2"/>
      <c r="P212" s="7">
        <f t="shared" ca="1" si="116"/>
        <v>141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4"/>
        <v>141520.73429999998</v>
      </c>
      <c r="K213" s="4">
        <f t="shared" si="89"/>
        <v>299.99549999999999</v>
      </c>
      <c r="L213" s="1">
        <f t="shared" si="107"/>
        <v>46071</v>
      </c>
      <c r="M213" s="21">
        <f t="shared" si="77"/>
        <v>148596.77101500001</v>
      </c>
      <c r="N213" s="22" t="s">
        <v>99</v>
      </c>
      <c r="O213" s="2"/>
      <c r="P213" s="7">
        <f t="shared" si="121"/>
        <v>25</v>
      </c>
      <c r="Q213" s="66">
        <f t="shared" ref="Q213:Q219" si="123">0.18*P213*M213/365</f>
        <v>1832.0149851164385</v>
      </c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4"/>
        <v>281367.20799999998</v>
      </c>
      <c r="K214" s="4">
        <f t="shared" si="89"/>
        <v>299.99549999999999</v>
      </c>
      <c r="L214" s="1">
        <f t="shared" si="107"/>
        <v>46078</v>
      </c>
      <c r="M214" s="21">
        <f t="shared" si="77"/>
        <v>295435.56839999999</v>
      </c>
      <c r="N214" s="22" t="s">
        <v>97</v>
      </c>
      <c r="O214" s="2"/>
      <c r="P214" s="7">
        <f t="shared" si="121"/>
        <v>22</v>
      </c>
      <c r="Q214" s="66">
        <f t="shared" si="123"/>
        <v>3205.2735640109586</v>
      </c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4"/>
        <v>217360.93347999998</v>
      </c>
      <c r="K215" s="4">
        <f t="shared" si="89"/>
        <v>229.99997999999999</v>
      </c>
      <c r="L215" s="1">
        <f t="shared" si="107"/>
        <v>46083</v>
      </c>
      <c r="M215" s="21">
        <f t="shared" si="77"/>
        <v>228228.98015399999</v>
      </c>
      <c r="N215" s="22" t="s">
        <v>97</v>
      </c>
      <c r="O215" s="2"/>
      <c r="P215" s="7">
        <f t="shared" si="121"/>
        <v>26</v>
      </c>
      <c r="Q215" s="66">
        <f t="shared" si="123"/>
        <v>2926.3332249882737</v>
      </c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4"/>
        <v>65312.376799999998</v>
      </c>
      <c r="K216" s="4">
        <f t="shared" si="89"/>
        <v>190.07204999999999</v>
      </c>
      <c r="L216" s="1">
        <f t="shared" si="107"/>
        <v>46086</v>
      </c>
      <c r="M216" s="21">
        <f t="shared" si="77"/>
        <v>68577.995639999994</v>
      </c>
      <c r="N216" s="22" t="s">
        <v>97</v>
      </c>
      <c r="O216" s="2"/>
      <c r="P216" s="7">
        <f t="shared" si="121"/>
        <v>23</v>
      </c>
      <c r="Q216" s="66">
        <f t="shared" si="123"/>
        <v>777.84356698520537</v>
      </c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4"/>
        <v>63743.68</v>
      </c>
      <c r="K217" s="4">
        <f t="shared" si="89"/>
        <v>190.14450000000002</v>
      </c>
      <c r="L217" s="1">
        <f t="shared" si="107"/>
        <v>46086</v>
      </c>
      <c r="M217" s="21">
        <f t="shared" si="77"/>
        <v>66930.864000000001</v>
      </c>
      <c r="N217" s="22" t="s">
        <v>97</v>
      </c>
      <c r="O217" s="2"/>
      <c r="P217" s="7">
        <f t="shared" si="121"/>
        <v>23</v>
      </c>
      <c r="Q217" s="66">
        <f t="shared" si="123"/>
        <v>759.16103276712329</v>
      </c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4"/>
        <v>63743.68</v>
      </c>
      <c r="K218" s="4">
        <f t="shared" si="89"/>
        <v>190.14450000000002</v>
      </c>
      <c r="L218" s="1">
        <f t="shared" si="107"/>
        <v>46086</v>
      </c>
      <c r="M218" s="21">
        <f t="shared" si="77"/>
        <v>66930.864000000001</v>
      </c>
      <c r="N218" s="22" t="s">
        <v>97</v>
      </c>
      <c r="O218" s="2"/>
      <c r="P218" s="7">
        <f t="shared" si="121"/>
        <v>23</v>
      </c>
      <c r="Q218" s="66">
        <f t="shared" si="123"/>
        <v>759.16103276712329</v>
      </c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4"/>
        <v>63743.68</v>
      </c>
      <c r="K219" s="4">
        <f t="shared" si="89"/>
        <v>190.14450000000002</v>
      </c>
      <c r="L219" s="1">
        <f t="shared" si="107"/>
        <v>46086</v>
      </c>
      <c r="M219" s="21">
        <f t="shared" si="77"/>
        <v>66930.864000000001</v>
      </c>
      <c r="N219" s="22" t="s">
        <v>97</v>
      </c>
      <c r="O219" s="2"/>
      <c r="P219" s="7">
        <f t="shared" si="121"/>
        <v>23</v>
      </c>
      <c r="Q219" s="66">
        <f t="shared" si="123"/>
        <v>759.16103276712329</v>
      </c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4"/>
        <v>172213.60499999998</v>
      </c>
      <c r="K220" s="4">
        <f t="shared" si="89"/>
        <v>156.71250000000001</v>
      </c>
      <c r="L220" s="1">
        <f t="shared" ref="L220" si="124">D220+18</f>
        <v>46091</v>
      </c>
      <c r="M220" s="21">
        <f t="shared" si="77"/>
        <v>180824.28524999999</v>
      </c>
      <c r="N220" s="22" t="s">
        <v>98</v>
      </c>
      <c r="O220" s="2"/>
      <c r="P220" s="7">
        <f t="shared" ref="P220" si="125">DAYS360(L220,W220)-(1)</f>
        <v>9</v>
      </c>
      <c r="Q220" s="66">
        <f t="shared" ref="Q220" si="126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4"/>
        <v>174048</v>
      </c>
      <c r="K221" s="4">
        <f t="shared" si="89"/>
        <v>271.95</v>
      </c>
      <c r="L221" s="1">
        <f t="shared" si="107"/>
        <v>46096</v>
      </c>
      <c r="M221" s="21">
        <f t="shared" si="77"/>
        <v>182750.4</v>
      </c>
      <c r="N221" s="22" t="s">
        <v>97</v>
      </c>
      <c r="O221" s="2"/>
      <c r="P221" s="7">
        <f t="shared" ca="1" si="116"/>
        <v>114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4"/>
        <v>285882.77137800003</v>
      </c>
      <c r="K222" s="4">
        <f t="shared" si="89"/>
        <v>299.99991</v>
      </c>
      <c r="L222" s="1">
        <f t="shared" si="107"/>
        <v>46102</v>
      </c>
      <c r="M222" s="21">
        <f t="shared" si="77"/>
        <v>300176.90994690004</v>
      </c>
      <c r="N222" s="22" t="s">
        <v>97</v>
      </c>
      <c r="O222" s="2"/>
      <c r="P222" s="7">
        <f t="shared" ref="P222" si="127">DAYS360(L222,W222)-(1)</f>
        <v>9</v>
      </c>
      <c r="Q222" s="66">
        <f t="shared" ref="Q222" si="128">0.18*P222*M222/365</f>
        <v>1332.292038668433</v>
      </c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4"/>
        <v>114176.22</v>
      </c>
      <c r="K223" s="4">
        <f t="shared" si="89"/>
        <v>155.66249999999999</v>
      </c>
      <c r="L223" s="1">
        <f t="shared" ref="L223:L224" si="129">D223+18</f>
        <v>46106</v>
      </c>
      <c r="M223" s="21">
        <f t="shared" si="77"/>
        <v>119885.03099999999</v>
      </c>
      <c r="N223" s="22" t="s">
        <v>98</v>
      </c>
      <c r="O223" s="2"/>
      <c r="P223" s="7">
        <f t="shared" ref="P223:P224" si="130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4"/>
        <v>57037.705000000002</v>
      </c>
      <c r="K224" s="4">
        <f t="shared" si="89"/>
        <v>155.66249999999999</v>
      </c>
      <c r="L224" s="1">
        <f t="shared" si="129"/>
        <v>46106</v>
      </c>
      <c r="M224" s="21">
        <f t="shared" si="77"/>
        <v>59889.590250000001</v>
      </c>
      <c r="N224" s="22" t="s">
        <v>98</v>
      </c>
      <c r="O224" s="2"/>
      <c r="P224" s="7">
        <f t="shared" si="130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4"/>
        <v>195274.8</v>
      </c>
      <c r="K225" s="4">
        <f t="shared" si="89"/>
        <v>301.35000000000002</v>
      </c>
      <c r="L225" s="1">
        <f t="shared" si="107"/>
        <v>46110</v>
      </c>
      <c r="M225" s="21">
        <f t="shared" si="77"/>
        <v>205038.54</v>
      </c>
      <c r="N225" s="22" t="s">
        <v>97</v>
      </c>
      <c r="O225" s="2"/>
      <c r="P225" s="7">
        <f t="shared" ca="1" si="116"/>
        <v>100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4"/>
        <v>18900</v>
      </c>
      <c r="K226" s="4">
        <f t="shared" si="89"/>
        <v>330.75</v>
      </c>
      <c r="L226" s="1">
        <f t="shared" si="107"/>
        <v>46127</v>
      </c>
      <c r="M226" s="21">
        <f t="shared" si="77"/>
        <v>19845</v>
      </c>
      <c r="N226" s="22" t="s">
        <v>257</v>
      </c>
      <c r="O226" s="2"/>
      <c r="P226" s="7">
        <f t="shared" ca="1" si="116"/>
        <v>84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4"/>
        <v>333746.66249999998</v>
      </c>
      <c r="K227" s="4">
        <f t="shared" si="89"/>
        <v>349.99650000000003</v>
      </c>
      <c r="L227" s="1">
        <f t="shared" si="107"/>
        <v>46127</v>
      </c>
      <c r="M227" s="21">
        <f t="shared" si="77"/>
        <v>350433.99562500004</v>
      </c>
      <c r="N227" s="22" t="s">
        <v>97</v>
      </c>
      <c r="O227" s="2"/>
      <c r="P227" s="7">
        <f t="shared" ca="1" si="116"/>
        <v>84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4"/>
        <v>238380</v>
      </c>
      <c r="K228" s="4">
        <f t="shared" si="89"/>
        <v>500.59800000000001</v>
      </c>
      <c r="L228" s="1">
        <f t="shared" si="107"/>
        <v>46128</v>
      </c>
      <c r="M228" s="21">
        <f t="shared" si="77"/>
        <v>250299</v>
      </c>
      <c r="N228" s="22" t="s">
        <v>98</v>
      </c>
      <c r="O228" s="2"/>
      <c r="P228" s="7">
        <f t="shared" ca="1" si="116"/>
        <v>83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4"/>
        <v>650541.15</v>
      </c>
      <c r="K229" s="4">
        <f t="shared" si="89"/>
        <v>330.75</v>
      </c>
      <c r="L229" s="1">
        <f t="shared" si="107"/>
        <v>46128</v>
      </c>
      <c r="M229" s="24">
        <f t="shared" si="77"/>
        <v>683068.20750000002</v>
      </c>
      <c r="N229" s="25">
        <v>483068</v>
      </c>
      <c r="O229" s="2"/>
      <c r="P229" s="7">
        <f t="shared" ca="1" si="116"/>
        <v>83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9" t="s">
        <v>109</v>
      </c>
      <c r="C238" s="149"/>
      <c r="Y238" s="149" t="s">
        <v>39</v>
      </c>
      <c r="Z238" s="149"/>
    </row>
    <row r="239" spans="1:34" ht="15.75" hidden="1" thickBot="1">
      <c r="A239" t="s">
        <v>56</v>
      </c>
      <c r="B239" s="150" t="s">
        <v>108</v>
      </c>
      <c r="C239" s="150"/>
      <c r="Y239" s="150" t="s">
        <v>34</v>
      </c>
      <c r="Z239" s="150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31">D241+15</f>
        <v>45956</v>
      </c>
      <c r="M241" s="21">
        <f t="shared" ref="M241:M244" si="132">H241*K241</f>
        <v>208450</v>
      </c>
      <c r="N241" s="22" t="s">
        <v>120</v>
      </c>
      <c r="O241" s="2"/>
      <c r="P241" s="7">
        <f t="shared" ref="P241" ca="1" si="133">DAYS360(L241,TODAY())-(1)</f>
        <v>253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31"/>
        <v>45956</v>
      </c>
      <c r="M242" s="21">
        <f t="shared" si="132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4">H243*I243</f>
        <v>62599.361700000001</v>
      </c>
      <c r="K243" s="4">
        <f>I243</f>
        <v>185.97</v>
      </c>
      <c r="L243" s="1">
        <f t="shared" si="131"/>
        <v>45956</v>
      </c>
      <c r="M243" s="21">
        <f t="shared" si="132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4"/>
        <v>120089.87999999999</v>
      </c>
      <c r="K244" s="4">
        <f>I244</f>
        <v>175.57</v>
      </c>
      <c r="L244" s="1">
        <f t="shared" si="131"/>
        <v>15</v>
      </c>
      <c r="M244" s="21">
        <f t="shared" si="132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25542.439999999995</v>
      </c>
      <c r="I254" s="10">
        <f>J254/H254</f>
        <v>258.73299412800827</v>
      </c>
      <c r="J254" s="12">
        <f>SUBTOTAL(9,J5:J109)+SUBTOTAL(9,J115:J235)+SUBTOTAL(9,J241:J249)</f>
        <v>6608671.9785350021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SHREE RAM YARN TRADING CO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/>
  <dimension ref="A1:P66"/>
  <sheetViews>
    <sheetView tabSelected="1" topLeftCell="A18" workbookViewId="0">
      <selection activeCell="M40" sqref="M40:M43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40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 hidden="1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 hidden="1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40" si="1">H5*1.05</f>
        <v>14.364000000000001</v>
      </c>
      <c r="J5" s="2"/>
      <c r="K5" s="104">
        <f t="shared" si="0"/>
        <v>115371.648</v>
      </c>
      <c r="L5" s="106"/>
      <c r="M5" s="124">
        <f t="shared" ref="M5:M51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 hidden="1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124">
        <f t="shared" si="2"/>
        <v>19091.503199999999</v>
      </c>
    </row>
    <row r="17" spans="1:16" hidden="1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124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 hidden="1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124">
        <f t="shared" si="2"/>
        <v>95078.311199999996</v>
      </c>
    </row>
    <row r="24" spans="1:16" hidden="1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124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  <c r="O25" s="123">
        <v>46200</v>
      </c>
      <c r="P25" t="s">
        <v>315</v>
      </c>
    </row>
    <row r="26" spans="1:16" hidden="1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 hidden="1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124">
        <f t="shared" si="2"/>
        <v>37506.996800000008</v>
      </c>
      <c r="O28" s="123">
        <v>46200</v>
      </c>
      <c r="P28" t="s">
        <v>316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124">
        <f t="shared" si="2"/>
        <v>37551.987200000003</v>
      </c>
      <c r="O29" s="123">
        <v>46200</v>
      </c>
      <c r="P29" t="s">
        <v>317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124">
        <f t="shared" si="2"/>
        <v>37566.984000000004</v>
      </c>
      <c r="O30" s="123">
        <v>46200</v>
      </c>
      <c r="P30" t="s">
        <v>318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124">
        <f t="shared" si="2"/>
        <v>37806.932800000002</v>
      </c>
      <c r="O31" s="123">
        <v>46200</v>
      </c>
      <c r="P31" t="s">
        <v>319</v>
      </c>
    </row>
    <row r="32" spans="1:16" hidden="1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6" hidden="1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6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124">
        <f t="shared" si="2"/>
        <v>40521.353600000009</v>
      </c>
      <c r="O34" s="123">
        <v>46200</v>
      </c>
      <c r="P34" t="s">
        <v>320</v>
      </c>
    </row>
    <row r="35" spans="1:16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124">
        <f t="shared" si="2"/>
        <v>40581.340800000005</v>
      </c>
      <c r="O35" s="123">
        <v>46200</v>
      </c>
      <c r="P35" t="s">
        <v>321</v>
      </c>
    </row>
    <row r="36" spans="1:16">
      <c r="A36" s="2">
        <v>34</v>
      </c>
      <c r="B36" s="1">
        <v>46177</v>
      </c>
      <c r="C36" s="113">
        <v>46177</v>
      </c>
      <c r="D36" s="2" t="s">
        <v>209</v>
      </c>
      <c r="E36" s="2"/>
      <c r="F36" s="103" t="s">
        <v>210</v>
      </c>
      <c r="G36" s="3">
        <v>2534</v>
      </c>
      <c r="H36" s="4">
        <v>14.56</v>
      </c>
      <c r="I36" s="4">
        <f t="shared" si="1"/>
        <v>15.288000000000002</v>
      </c>
      <c r="J36" s="2"/>
      <c r="K36" s="104">
        <f t="shared" si="0"/>
        <v>38739.792000000009</v>
      </c>
      <c r="L36" s="106"/>
      <c r="M36" s="124">
        <f t="shared" si="2"/>
        <v>38001.891200000005</v>
      </c>
      <c r="O36" s="123">
        <v>46200</v>
      </c>
      <c r="P36" t="s">
        <v>322</v>
      </c>
    </row>
    <row r="37" spans="1:16">
      <c r="A37" s="2">
        <v>35</v>
      </c>
      <c r="B37" s="1">
        <v>46177</v>
      </c>
      <c r="C37" s="113">
        <v>46177</v>
      </c>
      <c r="D37" s="2" t="s">
        <v>209</v>
      </c>
      <c r="E37" s="2"/>
      <c r="F37" s="103" t="s">
        <v>210</v>
      </c>
      <c r="G37" s="3">
        <v>2514</v>
      </c>
      <c r="H37" s="4">
        <v>14.56</v>
      </c>
      <c r="I37" s="4">
        <f t="shared" si="1"/>
        <v>15.288000000000002</v>
      </c>
      <c r="J37" s="2"/>
      <c r="K37" s="104">
        <f t="shared" si="0"/>
        <v>38434.032000000007</v>
      </c>
      <c r="L37" s="106"/>
      <c r="M37" s="124">
        <f t="shared" si="2"/>
        <v>37701.955200000004</v>
      </c>
      <c r="O37" s="123">
        <v>46200</v>
      </c>
      <c r="P37" t="s">
        <v>323</v>
      </c>
    </row>
    <row r="38" spans="1:16">
      <c r="A38" s="2">
        <v>36</v>
      </c>
      <c r="B38" s="1">
        <v>46178</v>
      </c>
      <c r="C38" s="113">
        <v>46178</v>
      </c>
      <c r="D38" s="2" t="s">
        <v>209</v>
      </c>
      <c r="E38" s="2"/>
      <c r="F38" s="103" t="s">
        <v>210</v>
      </c>
      <c r="G38" s="3">
        <v>3002</v>
      </c>
      <c r="H38" s="4">
        <v>14.56</v>
      </c>
      <c r="I38" s="4">
        <f t="shared" si="1"/>
        <v>15.288000000000002</v>
      </c>
      <c r="J38" s="2"/>
      <c r="K38" s="104">
        <f t="shared" si="0"/>
        <v>45894.576000000008</v>
      </c>
      <c r="L38" s="106"/>
      <c r="M38" s="124">
        <f t="shared" si="2"/>
        <v>45020.39360000001</v>
      </c>
      <c r="O38" s="123">
        <v>46200</v>
      </c>
      <c r="P38" t="s">
        <v>324</v>
      </c>
    </row>
    <row r="39" spans="1:16">
      <c r="A39" s="2">
        <v>37</v>
      </c>
      <c r="B39" s="1">
        <v>46182</v>
      </c>
      <c r="C39" s="1">
        <v>46182</v>
      </c>
      <c r="D39" s="2" t="s">
        <v>209</v>
      </c>
      <c r="E39" s="2"/>
      <c r="F39" s="103" t="s">
        <v>210</v>
      </c>
      <c r="G39" s="3">
        <v>2682</v>
      </c>
      <c r="H39" s="4">
        <v>14.56</v>
      </c>
      <c r="I39" s="4">
        <f t="shared" si="1"/>
        <v>15.288000000000002</v>
      </c>
      <c r="J39" s="2"/>
      <c r="K39" s="104">
        <f t="shared" si="0"/>
        <v>41002.416000000005</v>
      </c>
      <c r="L39" s="106"/>
      <c r="M39" s="124">
        <f t="shared" si="2"/>
        <v>40221.417600000008</v>
      </c>
      <c r="O39" s="123">
        <v>46200</v>
      </c>
      <c r="P39" t="s">
        <v>325</v>
      </c>
    </row>
    <row r="40" spans="1:16">
      <c r="A40" s="2">
        <v>38</v>
      </c>
      <c r="B40" s="1">
        <v>46185</v>
      </c>
      <c r="C40" s="1">
        <v>46185</v>
      </c>
      <c r="D40" s="2" t="s">
        <v>209</v>
      </c>
      <c r="E40" s="2"/>
      <c r="F40" s="103" t="s">
        <v>210</v>
      </c>
      <c r="G40" s="3">
        <v>4283</v>
      </c>
      <c r="H40" s="4">
        <v>14.56</v>
      </c>
      <c r="I40" s="4">
        <f t="shared" si="1"/>
        <v>15.288000000000002</v>
      </c>
      <c r="J40" s="2"/>
      <c r="K40" s="104">
        <f t="shared" si="0"/>
        <v>65478.504000000008</v>
      </c>
      <c r="L40" s="106"/>
      <c r="M40" s="124">
        <f t="shared" si="2"/>
        <v>64231.294400000006</v>
      </c>
      <c r="P40" t="s">
        <v>326</v>
      </c>
    </row>
    <row r="41" spans="1:16">
      <c r="A41" s="2">
        <v>39</v>
      </c>
      <c r="B41" s="1">
        <v>46186</v>
      </c>
      <c r="C41" s="1">
        <v>46186</v>
      </c>
      <c r="D41" s="2" t="s">
        <v>209</v>
      </c>
      <c r="E41" s="2"/>
      <c r="F41" s="103" t="s">
        <v>210</v>
      </c>
      <c r="G41" s="3">
        <v>1502</v>
      </c>
      <c r="H41" s="4">
        <v>14.56</v>
      </c>
      <c r="I41" s="4">
        <f t="shared" ref="I41:I45" si="3">H41*1.05</f>
        <v>15.288000000000002</v>
      </c>
      <c r="J41" s="2"/>
      <c r="K41" s="104">
        <f t="shared" ref="K41:K45" si="4">G41*I41</f>
        <v>22962.576000000005</v>
      </c>
      <c r="L41" s="106"/>
      <c r="M41" s="124">
        <f t="shared" si="2"/>
        <v>22525.193600000006</v>
      </c>
      <c r="P41" t="s">
        <v>327</v>
      </c>
    </row>
    <row r="42" spans="1:16">
      <c r="A42" s="2">
        <v>40</v>
      </c>
      <c r="B42" s="1">
        <v>46186</v>
      </c>
      <c r="C42" s="1">
        <v>46186</v>
      </c>
      <c r="D42" s="2" t="s">
        <v>209</v>
      </c>
      <c r="E42" s="2"/>
      <c r="F42" s="103" t="s">
        <v>210</v>
      </c>
      <c r="G42" s="3">
        <v>1036</v>
      </c>
      <c r="H42" s="4">
        <v>14.56</v>
      </c>
      <c r="I42" s="4">
        <f t="shared" si="3"/>
        <v>15.288000000000002</v>
      </c>
      <c r="J42" s="2"/>
      <c r="K42" s="104">
        <f t="shared" si="4"/>
        <v>15838.368000000002</v>
      </c>
      <c r="L42" s="106"/>
      <c r="M42" s="124">
        <f t="shared" si="2"/>
        <v>15536.684800000003</v>
      </c>
      <c r="P42" t="s">
        <v>328</v>
      </c>
    </row>
    <row r="43" spans="1:16">
      <c r="A43" s="2">
        <v>41</v>
      </c>
      <c r="B43" s="1">
        <v>46188</v>
      </c>
      <c r="C43" s="1">
        <v>46188</v>
      </c>
      <c r="D43" s="2" t="s">
        <v>209</v>
      </c>
      <c r="E43" s="2"/>
      <c r="F43" s="103" t="s">
        <v>210</v>
      </c>
      <c r="G43" s="3">
        <v>1826</v>
      </c>
      <c r="H43" s="4">
        <v>14.56</v>
      </c>
      <c r="I43" s="4">
        <f t="shared" si="3"/>
        <v>15.288000000000002</v>
      </c>
      <c r="J43" s="2"/>
      <c r="K43" s="104">
        <f t="shared" si="4"/>
        <v>27915.888000000003</v>
      </c>
      <c r="L43" s="106"/>
      <c r="M43" s="124">
        <f t="shared" si="2"/>
        <v>27384.156800000004</v>
      </c>
      <c r="P43" t="s">
        <v>329</v>
      </c>
    </row>
    <row r="44" spans="1:16" hidden="1">
      <c r="A44" s="2">
        <v>42</v>
      </c>
      <c r="B44" s="1">
        <v>46188</v>
      </c>
      <c r="C44" s="1">
        <v>46188</v>
      </c>
      <c r="D44" s="2" t="s">
        <v>211</v>
      </c>
      <c r="E44" s="2"/>
      <c r="F44" s="103" t="s">
        <v>299</v>
      </c>
      <c r="G44" s="3">
        <v>11804</v>
      </c>
      <c r="H44" s="4">
        <v>14.16</v>
      </c>
      <c r="I44" s="4">
        <f t="shared" si="3"/>
        <v>14.868</v>
      </c>
      <c r="J44" s="2"/>
      <c r="K44" s="104">
        <f t="shared" si="4"/>
        <v>175501.872</v>
      </c>
      <c r="L44" s="106"/>
      <c r="M44" s="6">
        <f t="shared" si="2"/>
        <v>172158.9792</v>
      </c>
      <c r="P44" t="s">
        <v>330</v>
      </c>
    </row>
    <row r="45" spans="1:16">
      <c r="A45" s="2">
        <v>43</v>
      </c>
      <c r="B45" s="1">
        <v>46192</v>
      </c>
      <c r="C45" s="1">
        <v>46192</v>
      </c>
      <c r="D45" s="2" t="s">
        <v>209</v>
      </c>
      <c r="E45" s="2"/>
      <c r="F45" s="103" t="s">
        <v>210</v>
      </c>
      <c r="G45" s="3">
        <v>2865</v>
      </c>
      <c r="H45" s="4">
        <v>14.56</v>
      </c>
      <c r="I45" s="4">
        <f t="shared" si="3"/>
        <v>15.288000000000002</v>
      </c>
      <c r="J45" s="2"/>
      <c r="K45" s="104">
        <f t="shared" si="4"/>
        <v>43800.12</v>
      </c>
      <c r="L45" s="106"/>
      <c r="M45" s="6">
        <f t="shared" si="2"/>
        <v>42965.832000000002</v>
      </c>
      <c r="P45" t="s">
        <v>331</v>
      </c>
    </row>
    <row r="46" spans="1:16">
      <c r="A46" s="2">
        <v>44</v>
      </c>
      <c r="B46" s="1">
        <v>46192</v>
      </c>
      <c r="C46" s="1">
        <v>46192</v>
      </c>
      <c r="D46" s="2" t="s">
        <v>209</v>
      </c>
      <c r="E46" s="2"/>
      <c r="F46" s="103" t="s">
        <v>210</v>
      </c>
      <c r="G46" s="3">
        <v>2986</v>
      </c>
      <c r="H46" s="4">
        <v>14.56</v>
      </c>
      <c r="I46" s="4">
        <f t="shared" ref="I46" si="5">H46*1.05</f>
        <v>15.288000000000002</v>
      </c>
      <c r="J46" s="2"/>
      <c r="K46" s="104">
        <f t="shared" ref="K46" si="6">G46*I46</f>
        <v>45649.968000000008</v>
      </c>
      <c r="L46" s="106"/>
      <c r="M46" s="6">
        <f t="shared" si="2"/>
        <v>44780.444800000005</v>
      </c>
      <c r="P46" t="s">
        <v>332</v>
      </c>
    </row>
    <row r="47" spans="1:16">
      <c r="A47" s="2">
        <v>45</v>
      </c>
      <c r="B47" s="1">
        <v>46194</v>
      </c>
      <c r="C47" s="1">
        <v>46194</v>
      </c>
      <c r="D47" s="2" t="s">
        <v>209</v>
      </c>
      <c r="E47" s="2"/>
      <c r="F47" s="103" t="s">
        <v>210</v>
      </c>
      <c r="G47" s="3">
        <v>2574</v>
      </c>
      <c r="H47" s="4">
        <v>14.56</v>
      </c>
      <c r="I47" s="4">
        <f t="shared" ref="I47:I49" si="7">H47*1.05</f>
        <v>15.288000000000002</v>
      </c>
      <c r="J47" s="2"/>
      <c r="K47" s="104">
        <f t="shared" ref="K47:K49" si="8">G47*I47</f>
        <v>39351.312000000005</v>
      </c>
      <c r="L47" s="106"/>
      <c r="M47" s="6">
        <f t="shared" si="2"/>
        <v>38601.763200000009</v>
      </c>
      <c r="P47" t="s">
        <v>333</v>
      </c>
    </row>
    <row r="48" spans="1:16">
      <c r="A48" s="2">
        <v>46</v>
      </c>
      <c r="B48" s="1">
        <v>46194</v>
      </c>
      <c r="C48" s="1">
        <v>46194</v>
      </c>
      <c r="D48" s="2" t="s">
        <v>209</v>
      </c>
      <c r="E48" s="2"/>
      <c r="F48" s="103" t="s">
        <v>210</v>
      </c>
      <c r="G48" s="3">
        <v>2067</v>
      </c>
      <c r="H48" s="4">
        <v>14.56</v>
      </c>
      <c r="I48" s="4">
        <f t="shared" si="7"/>
        <v>15.288000000000002</v>
      </c>
      <c r="J48" s="2"/>
      <c r="K48" s="104">
        <f t="shared" si="8"/>
        <v>31600.296000000006</v>
      </c>
      <c r="L48" s="106"/>
      <c r="M48" s="6">
        <f t="shared" si="2"/>
        <v>30998.385600000005</v>
      </c>
      <c r="P48" t="s">
        <v>334</v>
      </c>
    </row>
    <row r="49" spans="1:16">
      <c r="A49" s="2">
        <v>47</v>
      </c>
      <c r="B49" s="1">
        <v>46197</v>
      </c>
      <c r="C49" s="1">
        <v>46197</v>
      </c>
      <c r="D49" s="2" t="s">
        <v>209</v>
      </c>
      <c r="E49" s="2"/>
      <c r="F49" s="103" t="s">
        <v>210</v>
      </c>
      <c r="G49" s="3">
        <v>2091</v>
      </c>
      <c r="H49" s="4">
        <v>14.56</v>
      </c>
      <c r="I49" s="4">
        <f t="shared" si="7"/>
        <v>15.288000000000002</v>
      </c>
      <c r="J49" s="2"/>
      <c r="K49" s="104">
        <f t="shared" si="8"/>
        <v>31967.208000000006</v>
      </c>
      <c r="L49" s="106"/>
      <c r="M49" s="6">
        <f t="shared" si="2"/>
        <v>31358.308800000006</v>
      </c>
      <c r="P49" t="s">
        <v>335</v>
      </c>
    </row>
    <row r="50" spans="1:16">
      <c r="A50" s="2">
        <v>48</v>
      </c>
      <c r="B50" s="1">
        <v>46197</v>
      </c>
      <c r="C50" s="1">
        <v>46197</v>
      </c>
      <c r="D50" s="2" t="s">
        <v>209</v>
      </c>
      <c r="E50" s="2"/>
      <c r="F50" s="103" t="s">
        <v>210</v>
      </c>
      <c r="G50" s="3">
        <v>2013</v>
      </c>
      <c r="H50" s="4">
        <v>14.56</v>
      </c>
      <c r="I50" s="4">
        <f t="shared" ref="I50:I51" si="9">H50*1.05</f>
        <v>15.288000000000002</v>
      </c>
      <c r="J50" s="2"/>
      <c r="K50" s="104">
        <f t="shared" ref="K50:K51" si="10">G50*I50</f>
        <v>30774.744000000002</v>
      </c>
      <c r="L50" s="106"/>
      <c r="M50" s="6">
        <f t="shared" si="2"/>
        <v>30188.558400000002</v>
      </c>
      <c r="P50" t="s">
        <v>336</v>
      </c>
    </row>
    <row r="51" spans="1:16" hidden="1">
      <c r="A51" s="2">
        <v>49</v>
      </c>
      <c r="B51" s="1">
        <v>46198</v>
      </c>
      <c r="C51" s="1">
        <v>46198</v>
      </c>
      <c r="D51" s="2" t="s">
        <v>211</v>
      </c>
      <c r="E51" s="2"/>
      <c r="F51" s="103" t="s">
        <v>298</v>
      </c>
      <c r="G51" s="3">
        <v>6553</v>
      </c>
      <c r="H51" s="4">
        <v>14.16</v>
      </c>
      <c r="I51" s="4">
        <f t="shared" si="9"/>
        <v>14.868</v>
      </c>
      <c r="J51" s="2"/>
      <c r="K51" s="104">
        <f t="shared" si="10"/>
        <v>97430.004000000001</v>
      </c>
      <c r="L51" s="106"/>
      <c r="M51" s="6">
        <f t="shared" si="2"/>
        <v>95574.194400000008</v>
      </c>
      <c r="P51" t="s">
        <v>338</v>
      </c>
    </row>
    <row r="52" spans="1:16">
      <c r="A52" s="2">
        <v>50</v>
      </c>
      <c r="B52" s="1">
        <v>46199</v>
      </c>
      <c r="C52" s="1">
        <v>46199</v>
      </c>
      <c r="D52" s="2" t="s">
        <v>209</v>
      </c>
      <c r="E52" s="2"/>
      <c r="F52" s="103" t="s">
        <v>210</v>
      </c>
      <c r="G52" s="3">
        <v>1794</v>
      </c>
      <c r="H52" s="4">
        <v>14.56</v>
      </c>
      <c r="I52" s="4">
        <f t="shared" ref="I52:I60" si="11">H52*1.05</f>
        <v>15.288000000000002</v>
      </c>
      <c r="J52" s="2"/>
      <c r="K52" s="104">
        <f t="shared" ref="K52:K60" si="12">G52*I52</f>
        <v>27426.672000000002</v>
      </c>
      <c r="L52" s="106"/>
      <c r="M52" s="6">
        <f t="shared" ref="M52:M60" si="13">K52-((G52*H52)*0.02)</f>
        <v>26904.259200000004</v>
      </c>
      <c r="P52" t="s">
        <v>337</v>
      </c>
    </row>
    <row r="53" spans="1:16">
      <c r="A53" s="2">
        <v>51</v>
      </c>
      <c r="B53" s="1">
        <v>46202</v>
      </c>
      <c r="C53" s="1">
        <v>46202</v>
      </c>
      <c r="D53" s="2" t="s">
        <v>209</v>
      </c>
      <c r="E53" s="2"/>
      <c r="F53" s="103" t="s">
        <v>210</v>
      </c>
      <c r="G53" s="3">
        <v>1620</v>
      </c>
      <c r="H53" s="4">
        <v>14.56</v>
      </c>
      <c r="I53" s="4">
        <f t="shared" si="11"/>
        <v>15.288000000000002</v>
      </c>
      <c r="J53" s="2"/>
      <c r="K53" s="104">
        <f t="shared" si="12"/>
        <v>24766.560000000005</v>
      </c>
      <c r="L53" s="106"/>
      <c r="M53" s="6">
        <f t="shared" si="13"/>
        <v>24294.816000000006</v>
      </c>
      <c r="P53" t="s">
        <v>339</v>
      </c>
    </row>
    <row r="54" spans="1:16">
      <c r="A54" s="2">
        <v>52</v>
      </c>
      <c r="B54" s="1">
        <v>46203</v>
      </c>
      <c r="C54" s="1">
        <v>46203</v>
      </c>
      <c r="D54" s="2" t="s">
        <v>209</v>
      </c>
      <c r="E54" s="2"/>
      <c r="F54" s="103" t="s">
        <v>210</v>
      </c>
      <c r="G54" s="3">
        <v>3007</v>
      </c>
      <c r="H54" s="4">
        <v>14.56</v>
      </c>
      <c r="I54" s="4">
        <f t="shared" si="11"/>
        <v>15.288000000000002</v>
      </c>
      <c r="J54" s="2"/>
      <c r="K54" s="104">
        <f t="shared" si="12"/>
        <v>45971.016000000003</v>
      </c>
      <c r="L54" s="106"/>
      <c r="M54" s="6">
        <f t="shared" si="13"/>
        <v>45095.3776</v>
      </c>
      <c r="P54" t="s">
        <v>340</v>
      </c>
    </row>
    <row r="55" spans="1:16">
      <c r="A55" s="2">
        <v>53</v>
      </c>
      <c r="B55" s="1">
        <v>46206</v>
      </c>
      <c r="C55" s="1">
        <v>46206</v>
      </c>
      <c r="D55" s="2" t="s">
        <v>209</v>
      </c>
      <c r="E55" s="2"/>
      <c r="F55" s="103" t="s">
        <v>210</v>
      </c>
      <c r="G55" s="3">
        <v>1602</v>
      </c>
      <c r="H55" s="4">
        <v>14.56</v>
      </c>
      <c r="I55" s="4">
        <f t="shared" si="11"/>
        <v>15.288000000000002</v>
      </c>
      <c r="J55" s="2"/>
      <c r="K55" s="104">
        <f t="shared" si="12"/>
        <v>24491.376000000004</v>
      </c>
      <c r="L55" s="106"/>
      <c r="M55" s="6">
        <f t="shared" si="13"/>
        <v>24024.873600000003</v>
      </c>
      <c r="P55" t="s">
        <v>341</v>
      </c>
    </row>
    <row r="56" spans="1:16">
      <c r="A56" s="2">
        <v>54</v>
      </c>
      <c r="B56" s="1">
        <v>46206</v>
      </c>
      <c r="C56" s="1">
        <v>46206</v>
      </c>
      <c r="D56" s="2" t="s">
        <v>209</v>
      </c>
      <c r="E56" s="2"/>
      <c r="F56" s="103" t="s">
        <v>210</v>
      </c>
      <c r="G56" s="3">
        <v>1613</v>
      </c>
      <c r="H56" s="4">
        <v>14.56</v>
      </c>
      <c r="I56" s="4">
        <f t="shared" si="11"/>
        <v>15.288000000000002</v>
      </c>
      <c r="J56" s="2"/>
      <c r="K56" s="104">
        <f t="shared" si="12"/>
        <v>24659.544000000002</v>
      </c>
      <c r="L56" s="106"/>
      <c r="M56" s="6">
        <f t="shared" si="13"/>
        <v>24189.838400000001</v>
      </c>
      <c r="P56" t="s">
        <v>342</v>
      </c>
    </row>
    <row r="57" spans="1:16">
      <c r="A57" s="2">
        <v>55</v>
      </c>
      <c r="B57" s="1">
        <v>46207</v>
      </c>
      <c r="C57" s="1">
        <v>46207</v>
      </c>
      <c r="D57" s="2" t="s">
        <v>209</v>
      </c>
      <c r="E57" s="2"/>
      <c r="F57" s="103" t="s">
        <v>210</v>
      </c>
      <c r="G57" s="3">
        <v>1496</v>
      </c>
      <c r="H57" s="4">
        <v>14.56</v>
      </c>
      <c r="I57" s="4">
        <f t="shared" si="11"/>
        <v>15.288000000000002</v>
      </c>
      <c r="J57" s="2"/>
      <c r="K57" s="104">
        <f t="shared" si="12"/>
        <v>22870.848000000002</v>
      </c>
      <c r="L57" s="106"/>
      <c r="M57" s="6">
        <f t="shared" si="13"/>
        <v>22435.212800000001</v>
      </c>
      <c r="P57" t="s">
        <v>343</v>
      </c>
    </row>
    <row r="58" spans="1:16">
      <c r="A58" s="2">
        <v>56</v>
      </c>
      <c r="B58" s="1">
        <v>46209</v>
      </c>
      <c r="C58" s="1">
        <v>46209</v>
      </c>
      <c r="D58" s="2" t="s">
        <v>209</v>
      </c>
      <c r="E58" s="2"/>
      <c r="F58" s="103" t="s">
        <v>210</v>
      </c>
      <c r="G58" s="3">
        <v>2008</v>
      </c>
      <c r="H58" s="4">
        <v>14.56</v>
      </c>
      <c r="I58" s="4">
        <f t="shared" si="11"/>
        <v>15.288000000000002</v>
      </c>
      <c r="J58" s="2"/>
      <c r="K58" s="104">
        <f t="shared" si="12"/>
        <v>30698.304000000004</v>
      </c>
      <c r="L58" s="106"/>
      <c r="M58" s="6">
        <f t="shared" si="13"/>
        <v>30113.574400000005</v>
      </c>
      <c r="P58" t="s">
        <v>344</v>
      </c>
    </row>
    <row r="59" spans="1:16">
      <c r="A59" s="2">
        <v>57</v>
      </c>
      <c r="B59" s="1">
        <v>46209</v>
      </c>
      <c r="C59" s="1">
        <v>46209</v>
      </c>
      <c r="D59" s="2" t="s">
        <v>209</v>
      </c>
      <c r="E59" s="2"/>
      <c r="F59" s="103" t="s">
        <v>210</v>
      </c>
      <c r="G59" s="3">
        <v>2020</v>
      </c>
      <c r="H59" s="4">
        <v>14.56</v>
      </c>
      <c r="I59" s="4">
        <f t="shared" si="11"/>
        <v>15.288000000000002</v>
      </c>
      <c r="J59" s="2"/>
      <c r="K59" s="104">
        <f t="shared" si="12"/>
        <v>30881.760000000006</v>
      </c>
      <c r="L59" s="106"/>
      <c r="M59" s="6">
        <f t="shared" si="13"/>
        <v>30293.536000000007</v>
      </c>
      <c r="P59" t="s">
        <v>345</v>
      </c>
    </row>
    <row r="60" spans="1:16" hidden="1">
      <c r="A60" s="2">
        <v>58</v>
      </c>
      <c r="B60" s="1">
        <v>46209</v>
      </c>
      <c r="C60" s="1">
        <v>46209</v>
      </c>
      <c r="D60" s="2" t="s">
        <v>211</v>
      </c>
      <c r="E60" s="2"/>
      <c r="F60" s="103" t="s">
        <v>210</v>
      </c>
      <c r="G60" s="3">
        <v>2717</v>
      </c>
      <c r="H60" s="4">
        <v>14.16</v>
      </c>
      <c r="I60" s="4">
        <f t="shared" si="11"/>
        <v>14.868</v>
      </c>
      <c r="J60" s="2"/>
      <c r="K60" s="104">
        <f t="shared" si="12"/>
        <v>40396.356</v>
      </c>
      <c r="L60" s="106"/>
      <c r="M60" s="6">
        <f t="shared" si="13"/>
        <v>39626.901599999997</v>
      </c>
      <c r="P60" t="s">
        <v>346</v>
      </c>
    </row>
    <row r="61" spans="1:16">
      <c r="A61" s="2"/>
      <c r="B61" s="1"/>
      <c r="C61" s="1"/>
      <c r="D61" s="2"/>
      <c r="E61" s="2"/>
      <c r="F61" s="103"/>
      <c r="G61" s="3"/>
      <c r="H61" s="4"/>
      <c r="I61" s="4"/>
      <c r="J61" s="2"/>
      <c r="K61" s="104"/>
      <c r="L61" s="106"/>
    </row>
    <row r="62" spans="1:16">
      <c r="A62" s="2"/>
      <c r="B62" s="1"/>
      <c r="C62" s="1"/>
      <c r="D62" s="2"/>
      <c r="E62" s="2"/>
      <c r="F62" s="103"/>
      <c r="G62" s="3"/>
      <c r="H62" s="4"/>
      <c r="I62" s="4"/>
      <c r="J62" s="2"/>
      <c r="K62" s="104"/>
      <c r="L62" s="106"/>
    </row>
    <row r="63" spans="1:16">
      <c r="A63" s="2"/>
      <c r="B63" s="1"/>
      <c r="C63" s="1"/>
      <c r="D63" s="2"/>
      <c r="E63" s="2"/>
      <c r="F63" s="103"/>
      <c r="G63" s="3"/>
      <c r="H63" s="4"/>
      <c r="I63" s="4"/>
      <c r="J63" s="2"/>
      <c r="K63" s="104"/>
      <c r="L63" s="106"/>
    </row>
    <row r="64" spans="1:16">
      <c r="A64" s="2"/>
      <c r="B64" s="1"/>
      <c r="C64" s="1"/>
      <c r="D64" s="2"/>
      <c r="E64" s="2"/>
      <c r="F64" s="103"/>
      <c r="G64" s="3"/>
      <c r="H64" s="4"/>
      <c r="I64" s="4"/>
      <c r="J64" s="2"/>
      <c r="K64" s="104"/>
      <c r="L64" s="106"/>
    </row>
    <row r="65" spans="1:12" ht="15.75" thickBot="1">
      <c r="A65" s="18"/>
      <c r="B65" s="1"/>
      <c r="C65" s="1"/>
      <c r="D65" s="2"/>
      <c r="E65" s="2"/>
      <c r="F65" s="103"/>
      <c r="G65" s="3"/>
      <c r="H65" s="4"/>
      <c r="I65" s="2"/>
      <c r="J65" s="2"/>
      <c r="K65" s="105"/>
      <c r="L65" s="36"/>
    </row>
    <row r="66" spans="1:12" ht="15.75" thickBot="1">
      <c r="A66" s="8"/>
      <c r="B66" s="9"/>
      <c r="C66" s="9"/>
      <c r="D66" s="10"/>
      <c r="E66" s="10"/>
      <c r="F66" s="101"/>
      <c r="G66" s="12">
        <f>SUBTOTAL(9,G3:G65)</f>
        <v>101248</v>
      </c>
      <c r="H66" s="12">
        <f>(K66/1.05)/G66</f>
        <v>14.560000000000004</v>
      </c>
      <c r="I66" s="10"/>
      <c r="J66" s="10"/>
      <c r="K66" s="107">
        <f>SUBTOTAL(9,K3:K65)</f>
        <v>1547879.4240000003</v>
      </c>
      <c r="L66" s="108">
        <f>SUBTOTAL(9,L65:L65)</f>
        <v>0</v>
      </c>
    </row>
  </sheetData>
  <autoFilter ref="A2:O60">
    <filterColumn colId="3">
      <filters>
        <filter val="M S D TEXTILE"/>
      </filters>
    </filterColumn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35"/>
  <sheetViews>
    <sheetView zoomScale="85" zoomScaleNormal="85" workbookViewId="0">
      <selection activeCell="A82" sqref="A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>DAYS360(L5,W5)-(1)</f>
        <v>25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51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49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46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44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43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41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41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40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39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38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37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36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26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52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50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46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42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42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41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41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39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36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34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31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30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27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26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26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>
      <c r="A51" t="s">
        <v>114</v>
      </c>
      <c r="B51" s="149" t="s">
        <v>40</v>
      </c>
      <c r="C51" s="149"/>
      <c r="H51" s="109"/>
      <c r="Y51" s="149" t="s">
        <v>39</v>
      </c>
      <c r="Z51" s="149"/>
    </row>
    <row r="52" spans="1:34" ht="15.75" thickBot="1">
      <c r="A52" t="s">
        <v>114</v>
      </c>
      <c r="B52" s="150" t="s">
        <v>34</v>
      </c>
      <c r="C52" s="150"/>
      <c r="H52" s="109"/>
      <c r="Y52" s="150" t="s">
        <v>34</v>
      </c>
      <c r="Z52" s="150"/>
      <c r="AA52" s="1"/>
      <c r="AB52" s="2"/>
      <c r="AC52" s="3"/>
      <c r="AD52" s="4"/>
      <c r="AE52" s="4"/>
      <c r="AF52" s="5"/>
      <c r="AG52" s="2"/>
      <c r="AH52" s="1"/>
    </row>
    <row r="53" spans="1:34" ht="15.75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:Q56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>DAYS360(L55,W55)-(1)</f>
        <v>15</v>
      </c>
      <c r="Q55" s="66">
        <f t="shared" si="20"/>
        <v>1797.834559068493</v>
      </c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2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>DAYS360(L56,W56)-(1)</f>
        <v>15</v>
      </c>
      <c r="Q56" s="66">
        <f t="shared" si="20"/>
        <v>1777.3399479452053</v>
      </c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3">H57*I57</f>
        <v>119061.59999999999</v>
      </c>
      <c r="K57" s="4">
        <f t="shared" ref="K57" si="24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ref="P57:P79" ca="1" si="25">DAYS360(L57,TODAY())-(1)</f>
        <v>69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2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5"/>
        <v>67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2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5"/>
        <v>35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2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5"/>
        <v>34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2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5"/>
        <v>59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2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5"/>
        <v>59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2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5"/>
        <v>33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2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2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5"/>
        <v>32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2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5"/>
        <v>56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2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5"/>
        <v>54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2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5"/>
        <v>53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2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5"/>
        <v>45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2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5"/>
        <v>45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2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5"/>
        <v>50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2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5"/>
        <v>39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5"/>
        <v>39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5"/>
        <v>39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5"/>
        <v>39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5"/>
        <v>33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5"/>
        <v>39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5"/>
        <v>39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1">
        <f t="shared" ref="M80:M87" si="39">H80*K80</f>
        <v>154332.23232000001</v>
      </c>
      <c r="N80" s="148" t="s">
        <v>99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>
        <v>46196</v>
      </c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1">
        <f t="shared" si="39"/>
        <v>162151.8192</v>
      </c>
      <c r="N82" s="148" t="s">
        <v>99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>
        <v>46196</v>
      </c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3906560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>
      <c r="A119" t="s">
        <v>56</v>
      </c>
      <c r="H119" s="83">
        <f>H49+H118</f>
        <v>34014.763000000006</v>
      </c>
    </row>
    <row r="120" spans="1:34">
      <c r="A120" t="s">
        <v>56</v>
      </c>
      <c r="B120" s="149" t="s">
        <v>109</v>
      </c>
      <c r="C120" s="149"/>
      <c r="H120" s="109"/>
      <c r="Y120" s="149" t="s">
        <v>39</v>
      </c>
      <c r="Z120" s="149"/>
    </row>
    <row r="121" spans="1:34" ht="15.75" thickBot="1">
      <c r="A121" t="s">
        <v>56</v>
      </c>
      <c r="B121" s="150" t="s">
        <v>108</v>
      </c>
      <c r="C121" s="150"/>
      <c r="H121" s="109"/>
      <c r="Y121" s="150" t="s">
        <v>34</v>
      </c>
      <c r="Z121" s="150"/>
      <c r="AA121" s="1"/>
      <c r="AB121" s="2"/>
      <c r="AC121" s="3"/>
      <c r="AD121" s="4"/>
      <c r="AE121" s="4"/>
      <c r="AF121" s="5"/>
      <c r="AG121" s="2"/>
      <c r="AH121" s="1"/>
    </row>
    <row r="122" spans="1:34" ht="15.75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34014.763000000006</v>
      </c>
      <c r="I135" s="12">
        <f>J135/H135</f>
        <v>271.82960129644289</v>
      </c>
      <c r="J135" s="12">
        <f>SUBTOTAL(9,J5:J48)+SUBTOTAL(9,J54:J117)+SUBTOTAL(9,J123:J130)</f>
        <v>9246219.4644829985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/>
    <filterColumn colId="6"/>
    <filterColumn colId="24" showButton="0"/>
  </autoFilter>
  <mergeCells count="12">
    <mergeCell ref="B52:C52"/>
    <mergeCell ref="Y52:Z52"/>
    <mergeCell ref="B120:C120"/>
    <mergeCell ref="Y120:Z120"/>
    <mergeCell ref="B121:C121"/>
    <mergeCell ref="Y121:Z121"/>
    <mergeCell ref="B2:C2"/>
    <mergeCell ref="Y2:Z2"/>
    <mergeCell ref="B3:C3"/>
    <mergeCell ref="Y3:Z3"/>
    <mergeCell ref="B51:C51"/>
    <mergeCell ref="Y51:Z5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2:W48"/>
  <sheetViews>
    <sheetView topLeftCell="D9" zoomScale="85" zoomScaleNormal="85" workbookViewId="0">
      <selection activeCell="D32" sqref="D32:W49"/>
    </sheetView>
  </sheetViews>
  <sheetFormatPr defaultRowHeight="15"/>
  <cols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</cols>
  <sheetData>
    <row r="12" spans="2:23">
      <c r="B12" s="18">
        <v>72</v>
      </c>
      <c r="C12" s="1">
        <v>45993</v>
      </c>
      <c r="D12" s="1">
        <v>45993</v>
      </c>
      <c r="E12" s="19" t="s">
        <v>26</v>
      </c>
      <c r="F12" s="19" t="s">
        <v>29</v>
      </c>
      <c r="G12" s="147" t="s">
        <v>167</v>
      </c>
      <c r="H12" s="3">
        <v>750</v>
      </c>
      <c r="I12" s="4">
        <v>264.76190000000003</v>
      </c>
      <c r="J12" s="4">
        <v>198571.42500000002</v>
      </c>
      <c r="K12" s="4">
        <v>277.99999500000001</v>
      </c>
      <c r="L12" s="1">
        <v>46009</v>
      </c>
      <c r="M12" s="21">
        <v>208499.99625</v>
      </c>
      <c r="N12" s="22" t="s">
        <v>99</v>
      </c>
      <c r="O12" s="2"/>
      <c r="P12" s="7">
        <v>-17</v>
      </c>
      <c r="Q12" s="66">
        <v>-1747.97257130137</v>
      </c>
      <c r="R12" s="2"/>
      <c r="S12" s="2">
        <v>22817</v>
      </c>
      <c r="T12" s="2"/>
      <c r="U12" s="2"/>
      <c r="V12" s="2"/>
      <c r="W12" s="23">
        <v>45993</v>
      </c>
    </row>
    <row r="13" spans="2:23">
      <c r="B13" s="18">
        <v>73</v>
      </c>
      <c r="C13" s="1">
        <v>45993</v>
      </c>
      <c r="D13" s="1">
        <v>45993</v>
      </c>
      <c r="E13" s="19" t="s">
        <v>26</v>
      </c>
      <c r="F13" s="19" t="s">
        <v>29</v>
      </c>
      <c r="G13" s="147" t="s">
        <v>167</v>
      </c>
      <c r="H13" s="3">
        <v>248.01</v>
      </c>
      <c r="I13" s="4">
        <v>264.76190000000003</v>
      </c>
      <c r="J13" s="4">
        <v>65663.598819000006</v>
      </c>
      <c r="K13" s="4">
        <v>277.99999500000001</v>
      </c>
      <c r="L13" s="1">
        <v>46009</v>
      </c>
      <c r="M13" s="21">
        <v>68946.778759950001</v>
      </c>
      <c r="N13" s="22" t="s">
        <v>99</v>
      </c>
      <c r="O13" s="2"/>
      <c r="P13" s="7">
        <v>-17</v>
      </c>
      <c r="Q13" s="66">
        <v>-578.01956987793699</v>
      </c>
      <c r="R13" s="2"/>
      <c r="S13" s="2">
        <v>22818</v>
      </c>
      <c r="T13" s="2"/>
      <c r="U13" s="2"/>
      <c r="V13" s="2"/>
      <c r="W13" s="23">
        <v>45993</v>
      </c>
    </row>
    <row r="14" spans="2:23">
      <c r="B14" s="18">
        <v>86</v>
      </c>
      <c r="C14" s="1">
        <v>46027</v>
      </c>
      <c r="D14" s="1">
        <v>46027</v>
      </c>
      <c r="E14" s="19" t="s">
        <v>26</v>
      </c>
      <c r="F14" s="19" t="s">
        <v>29</v>
      </c>
      <c r="G14" s="147" t="s">
        <v>167</v>
      </c>
      <c r="H14" s="3">
        <v>1010.5</v>
      </c>
      <c r="I14" s="4">
        <v>264.76190000000003</v>
      </c>
      <c r="J14" s="4">
        <v>267541.89995000005</v>
      </c>
      <c r="K14" s="4">
        <v>277.99999500000001</v>
      </c>
      <c r="L14" s="1">
        <v>46043</v>
      </c>
      <c r="M14" s="21">
        <v>280918.9949475</v>
      </c>
      <c r="N14" s="22" t="s">
        <v>99</v>
      </c>
      <c r="O14" s="2"/>
      <c r="P14" s="7">
        <v>27</v>
      </c>
      <c r="Q14" s="66">
        <v>3740.4556587530133</v>
      </c>
      <c r="R14" s="2"/>
      <c r="S14" s="2">
        <v>25905</v>
      </c>
      <c r="T14" s="2"/>
      <c r="U14" s="2"/>
      <c r="V14" s="2"/>
      <c r="W14" s="23">
        <v>46072</v>
      </c>
    </row>
    <row r="15" spans="2:23">
      <c r="B15" s="18">
        <v>87</v>
      </c>
      <c r="C15" s="1">
        <v>46029</v>
      </c>
      <c r="D15" s="1">
        <v>46029</v>
      </c>
      <c r="E15" s="19" t="s">
        <v>26</v>
      </c>
      <c r="F15" s="19"/>
      <c r="G15" s="2" t="s">
        <v>43</v>
      </c>
      <c r="H15" s="3">
        <v>307.60000000000002</v>
      </c>
      <c r="I15" s="4">
        <v>122</v>
      </c>
      <c r="J15" s="4">
        <v>37527.200000000004</v>
      </c>
      <c r="K15" s="4">
        <v>128.1</v>
      </c>
      <c r="L15" s="1">
        <v>46045</v>
      </c>
      <c r="M15" s="21">
        <v>39403.56</v>
      </c>
      <c r="N15" s="22" t="s">
        <v>99</v>
      </c>
      <c r="O15" s="2"/>
      <c r="P15" s="7">
        <v>42</v>
      </c>
      <c r="Q15" s="66">
        <v>816.13948931506843</v>
      </c>
      <c r="R15" s="2"/>
      <c r="S15" s="2">
        <v>26089</v>
      </c>
      <c r="T15" s="2"/>
      <c r="U15" s="2"/>
      <c r="V15" s="2"/>
      <c r="W15" s="23">
        <v>46087</v>
      </c>
    </row>
    <row r="16" spans="2:23">
      <c r="B16" s="18">
        <v>91</v>
      </c>
      <c r="C16" s="1">
        <v>46038</v>
      </c>
      <c r="D16" s="1">
        <v>46038</v>
      </c>
      <c r="E16" s="19" t="s">
        <v>26</v>
      </c>
      <c r="F16" s="19"/>
      <c r="G16" s="2" t="s">
        <v>35</v>
      </c>
      <c r="H16" s="3">
        <v>300</v>
      </c>
      <c r="I16" s="4">
        <v>302</v>
      </c>
      <c r="J16" s="4">
        <v>90600</v>
      </c>
      <c r="K16" s="4">
        <v>317.10000000000002</v>
      </c>
      <c r="L16" s="1">
        <v>46054</v>
      </c>
      <c r="M16" s="21">
        <v>95130</v>
      </c>
      <c r="N16" s="22" t="s">
        <v>99</v>
      </c>
      <c r="O16" s="2"/>
      <c r="P16" s="7">
        <v>34</v>
      </c>
      <c r="Q16" s="66">
        <v>1595.0564383561643</v>
      </c>
      <c r="R16" s="2"/>
      <c r="S16" s="2">
        <v>26998</v>
      </c>
      <c r="T16" s="2"/>
      <c r="U16" s="2"/>
      <c r="V16" s="2"/>
      <c r="W16" s="23">
        <v>46087</v>
      </c>
    </row>
    <row r="17" spans="2:23">
      <c r="B17" s="18">
        <v>92</v>
      </c>
      <c r="C17" s="1">
        <v>46033</v>
      </c>
      <c r="D17" s="1">
        <v>46039</v>
      </c>
      <c r="E17" s="19" t="s">
        <v>26</v>
      </c>
      <c r="F17" s="19"/>
      <c r="G17" s="147" t="s">
        <v>167</v>
      </c>
      <c r="H17" s="3">
        <v>189.4</v>
      </c>
      <c r="I17" s="4">
        <v>264.76190000000003</v>
      </c>
      <c r="J17" s="4">
        <v>50145.903860000006</v>
      </c>
      <c r="K17" s="4">
        <v>277.99999500000001</v>
      </c>
      <c r="L17" s="1">
        <v>46055</v>
      </c>
      <c r="M17" s="21">
        <v>52653.199053000004</v>
      </c>
      <c r="N17" s="22" t="s">
        <v>99</v>
      </c>
      <c r="O17" s="2"/>
      <c r="P17" s="7">
        <v>33</v>
      </c>
      <c r="Q17" s="66">
        <v>856.87671883512326</v>
      </c>
      <c r="R17" s="2"/>
      <c r="S17" s="2">
        <v>27136</v>
      </c>
      <c r="T17" s="2"/>
      <c r="U17" s="2"/>
      <c r="V17" s="2"/>
      <c r="W17" s="23">
        <v>46087</v>
      </c>
    </row>
    <row r="18" spans="2:23">
      <c r="B18" s="18">
        <v>93</v>
      </c>
      <c r="C18" s="1">
        <v>46033</v>
      </c>
      <c r="D18" s="1">
        <v>46039</v>
      </c>
      <c r="E18" s="19" t="s">
        <v>26</v>
      </c>
      <c r="F18" s="19"/>
      <c r="G18" s="147" t="s">
        <v>167</v>
      </c>
      <c r="H18" s="3">
        <v>790.2</v>
      </c>
      <c r="I18" s="4">
        <v>264.76190000000003</v>
      </c>
      <c r="J18" s="4">
        <v>209214.85338000004</v>
      </c>
      <c r="K18" s="4">
        <v>277.99999500000001</v>
      </c>
      <c r="L18" s="1">
        <v>46055</v>
      </c>
      <c r="M18" s="21">
        <v>219675.59604900001</v>
      </c>
      <c r="N18" s="22" t="s">
        <v>99</v>
      </c>
      <c r="O18" s="2"/>
      <c r="P18" s="7">
        <v>33</v>
      </c>
      <c r="Q18" s="66">
        <v>3574.9946315919451</v>
      </c>
      <c r="R18" s="2"/>
      <c r="S18" s="2">
        <v>27137</v>
      </c>
      <c r="T18" s="2"/>
      <c r="U18" s="2"/>
      <c r="V18" s="2"/>
      <c r="W18" s="23">
        <v>46087</v>
      </c>
    </row>
    <row r="19" spans="2:23">
      <c r="B19" s="18">
        <v>96</v>
      </c>
      <c r="C19" s="1">
        <v>46048</v>
      </c>
      <c r="D19" s="1">
        <v>46048</v>
      </c>
      <c r="E19" s="19" t="s">
        <v>26</v>
      </c>
      <c r="F19" s="19"/>
      <c r="G19" s="147" t="s">
        <v>167</v>
      </c>
      <c r="H19" s="3">
        <v>505.4</v>
      </c>
      <c r="I19" s="4">
        <v>285.70999999999998</v>
      </c>
      <c r="J19" s="4">
        <v>144397.83399999997</v>
      </c>
      <c r="K19" s="4">
        <v>299.99549999999999</v>
      </c>
      <c r="L19" s="1">
        <v>46064</v>
      </c>
      <c r="M19" s="21">
        <v>151617.72569999998</v>
      </c>
      <c r="N19" s="22" t="s">
        <v>99</v>
      </c>
      <c r="O19" s="2"/>
      <c r="P19" s="7">
        <v>32</v>
      </c>
      <c r="Q19" s="66">
        <v>2392.6523288547942</v>
      </c>
      <c r="R19" s="2"/>
      <c r="S19" s="2">
        <v>28149</v>
      </c>
      <c r="T19" s="2"/>
      <c r="U19" s="2"/>
      <c r="V19" s="2"/>
      <c r="W19" s="23">
        <v>46095</v>
      </c>
    </row>
    <row r="20" spans="2:23">
      <c r="B20" s="18">
        <v>97</v>
      </c>
      <c r="C20" s="1">
        <v>46051</v>
      </c>
      <c r="D20" s="1">
        <v>46051</v>
      </c>
      <c r="E20" s="19" t="s">
        <v>26</v>
      </c>
      <c r="F20" s="19"/>
      <c r="G20" s="147" t="s">
        <v>167</v>
      </c>
      <c r="H20" s="3">
        <v>506.07</v>
      </c>
      <c r="I20" s="4">
        <v>285.70999999999998</v>
      </c>
      <c r="J20" s="4">
        <v>144589.2597</v>
      </c>
      <c r="K20" s="4">
        <v>299.99549999999999</v>
      </c>
      <c r="L20" s="1">
        <v>46067</v>
      </c>
      <c r="M20" s="21">
        <v>151818.72268499999</v>
      </c>
      <c r="N20" s="22" t="s">
        <v>99</v>
      </c>
      <c r="O20" s="2"/>
      <c r="P20" s="7">
        <v>29</v>
      </c>
      <c r="Q20" s="66">
        <v>2171.2157052484927</v>
      </c>
      <c r="R20" s="2"/>
      <c r="S20" s="2">
        <v>28465</v>
      </c>
      <c r="T20" s="2"/>
      <c r="U20" s="2"/>
      <c r="V20" s="2"/>
      <c r="W20" s="23">
        <v>46095</v>
      </c>
    </row>
    <row r="21" spans="2:23">
      <c r="B21" s="18">
        <v>99</v>
      </c>
      <c r="C21" s="1">
        <v>46054</v>
      </c>
      <c r="D21" s="1">
        <v>46055</v>
      </c>
      <c r="E21" s="19" t="s">
        <v>26</v>
      </c>
      <c r="F21" s="19"/>
      <c r="G21" s="147" t="s">
        <v>167</v>
      </c>
      <c r="H21" s="3">
        <v>495.33</v>
      </c>
      <c r="I21" s="4">
        <v>285.70999999999998</v>
      </c>
      <c r="J21" s="4">
        <v>141520.73429999998</v>
      </c>
      <c r="K21" s="4">
        <v>299.99549999999999</v>
      </c>
      <c r="L21" s="1">
        <v>46071</v>
      </c>
      <c r="M21" s="21">
        <v>148596.77101500001</v>
      </c>
      <c r="N21" s="22" t="s">
        <v>99</v>
      </c>
      <c r="O21" s="2"/>
      <c r="P21" s="7">
        <v>25</v>
      </c>
      <c r="Q21" s="66">
        <v>1832.0149851164385</v>
      </c>
      <c r="R21" s="2"/>
      <c r="S21" s="2">
        <v>28842</v>
      </c>
      <c r="T21" s="2"/>
      <c r="U21" s="2"/>
      <c r="V21" s="2"/>
      <c r="W21" s="23">
        <v>46095</v>
      </c>
    </row>
    <row r="22" spans="2:23">
      <c r="B22" s="18">
        <v>100</v>
      </c>
      <c r="C22" s="1">
        <v>46063</v>
      </c>
      <c r="D22" s="1">
        <v>46062</v>
      </c>
      <c r="E22" s="19" t="s">
        <v>26</v>
      </c>
      <c r="F22" s="19"/>
      <c r="G22" s="147" t="s">
        <v>167</v>
      </c>
      <c r="H22" s="3">
        <v>984.8</v>
      </c>
      <c r="I22" s="4">
        <v>285.70999999999998</v>
      </c>
      <c r="J22" s="4">
        <v>281367.20799999998</v>
      </c>
      <c r="K22" s="4">
        <v>299.99549999999999</v>
      </c>
      <c r="L22" s="1">
        <v>46078</v>
      </c>
      <c r="M22" s="21">
        <v>295435.56839999999</v>
      </c>
      <c r="N22" s="22" t="s">
        <v>97</v>
      </c>
      <c r="O22" s="2"/>
      <c r="P22" s="7">
        <v>22</v>
      </c>
      <c r="Q22" s="66">
        <v>3205.2735640109586</v>
      </c>
      <c r="R22" s="2"/>
      <c r="S22" s="2">
        <v>29741</v>
      </c>
      <c r="T22" s="2"/>
      <c r="U22" s="2"/>
      <c r="V22" s="2"/>
      <c r="W22" s="23">
        <v>46099</v>
      </c>
    </row>
    <row r="23" spans="2:23">
      <c r="B23" s="18">
        <v>101</v>
      </c>
      <c r="C23" s="1">
        <v>46068</v>
      </c>
      <c r="D23" s="1">
        <v>46067</v>
      </c>
      <c r="E23" s="19" t="s">
        <v>26</v>
      </c>
      <c r="F23" s="19" t="s">
        <v>169</v>
      </c>
      <c r="G23" s="147" t="s">
        <v>167</v>
      </c>
      <c r="H23" s="3">
        <v>992.3</v>
      </c>
      <c r="I23" s="4">
        <v>219.04759999999999</v>
      </c>
      <c r="J23" s="4">
        <v>217360.93347999998</v>
      </c>
      <c r="K23" s="4">
        <v>229.99997999999999</v>
      </c>
      <c r="L23" s="1">
        <v>46083</v>
      </c>
      <c r="M23" s="21">
        <v>228228.98015399999</v>
      </c>
      <c r="N23" s="22" t="s">
        <v>97</v>
      </c>
      <c r="O23" s="2"/>
      <c r="P23" s="7">
        <v>26</v>
      </c>
      <c r="Q23" s="66">
        <v>2926.3332249882737</v>
      </c>
      <c r="R23" s="2"/>
      <c r="S23" s="2">
        <v>30305</v>
      </c>
      <c r="T23" s="2"/>
      <c r="U23" s="2"/>
      <c r="V23" s="2"/>
      <c r="W23" s="23">
        <v>46110</v>
      </c>
    </row>
    <row r="24" spans="2:23">
      <c r="B24" s="18">
        <v>102</v>
      </c>
      <c r="C24" s="1">
        <v>46070</v>
      </c>
      <c r="D24" s="1">
        <v>46070</v>
      </c>
      <c r="E24" s="19" t="s">
        <v>26</v>
      </c>
      <c r="F24" s="19" t="s">
        <v>171</v>
      </c>
      <c r="G24" s="2" t="s">
        <v>170</v>
      </c>
      <c r="H24" s="3">
        <v>360.8</v>
      </c>
      <c r="I24" s="4">
        <v>181.02099999999999</v>
      </c>
      <c r="J24" s="4">
        <v>65312.376799999998</v>
      </c>
      <c r="K24" s="4">
        <v>190.07204999999999</v>
      </c>
      <c r="L24" s="1">
        <v>46086</v>
      </c>
      <c r="M24" s="21">
        <v>68577.995639999994</v>
      </c>
      <c r="N24" s="22" t="s">
        <v>97</v>
      </c>
      <c r="O24" s="2"/>
      <c r="P24" s="7">
        <v>23</v>
      </c>
      <c r="Q24" s="66">
        <v>777.84356698520537</v>
      </c>
      <c r="R24" s="2"/>
      <c r="S24" s="2" t="s">
        <v>172</v>
      </c>
      <c r="T24" s="2"/>
      <c r="U24" s="2"/>
      <c r="V24" s="2"/>
      <c r="W24" s="23">
        <v>46110</v>
      </c>
    </row>
    <row r="25" spans="2:23">
      <c r="B25" s="18">
        <v>103</v>
      </c>
      <c r="C25" s="1">
        <v>46070</v>
      </c>
      <c r="D25" s="1">
        <v>46070</v>
      </c>
      <c r="E25" s="19" t="s">
        <v>26</v>
      </c>
      <c r="F25" s="19" t="s">
        <v>171</v>
      </c>
      <c r="G25" s="2" t="s">
        <v>170</v>
      </c>
      <c r="H25" s="3">
        <v>352</v>
      </c>
      <c r="I25" s="4">
        <v>181.09</v>
      </c>
      <c r="J25" s="4">
        <v>63743.68</v>
      </c>
      <c r="K25" s="4">
        <v>190.14450000000002</v>
      </c>
      <c r="L25" s="1">
        <v>46086</v>
      </c>
      <c r="M25" s="21">
        <v>66930.864000000001</v>
      </c>
      <c r="N25" s="22" t="s">
        <v>97</v>
      </c>
      <c r="O25" s="2"/>
      <c r="P25" s="7">
        <v>23</v>
      </c>
      <c r="Q25" s="66">
        <v>759.16103276712329</v>
      </c>
      <c r="R25" s="2"/>
      <c r="S25" s="2" t="s">
        <v>173</v>
      </c>
      <c r="T25" s="2"/>
      <c r="U25" s="2"/>
      <c r="V25" s="2"/>
      <c r="W25" s="23">
        <v>46110</v>
      </c>
    </row>
    <row r="26" spans="2:23">
      <c r="B26" s="18">
        <v>104</v>
      </c>
      <c r="C26" s="1">
        <v>46070</v>
      </c>
      <c r="D26" s="1">
        <v>46070</v>
      </c>
      <c r="E26" s="19" t="s">
        <v>26</v>
      </c>
      <c r="F26" s="19" t="s">
        <v>171</v>
      </c>
      <c r="G26" s="2" t="s">
        <v>170</v>
      </c>
      <c r="H26" s="3">
        <v>352</v>
      </c>
      <c r="I26" s="4">
        <v>181.09</v>
      </c>
      <c r="J26" s="4">
        <v>63743.68</v>
      </c>
      <c r="K26" s="4">
        <v>190.14450000000002</v>
      </c>
      <c r="L26" s="1">
        <v>46086</v>
      </c>
      <c r="M26" s="21">
        <v>66930.864000000001</v>
      </c>
      <c r="N26" s="22" t="s">
        <v>97</v>
      </c>
      <c r="O26" s="2"/>
      <c r="P26" s="7">
        <v>23</v>
      </c>
      <c r="Q26" s="66">
        <v>759.16103276712329</v>
      </c>
      <c r="R26" s="2"/>
      <c r="S26" s="2" t="s">
        <v>174</v>
      </c>
      <c r="T26" s="2"/>
      <c r="U26" s="2"/>
      <c r="V26" s="2"/>
      <c r="W26" s="23">
        <v>46110</v>
      </c>
    </row>
    <row r="27" spans="2:23">
      <c r="B27" s="18">
        <v>105</v>
      </c>
      <c r="C27" s="1">
        <v>46070</v>
      </c>
      <c r="D27" s="1">
        <v>46070</v>
      </c>
      <c r="E27" s="19" t="s">
        <v>26</v>
      </c>
      <c r="F27" s="19" t="s">
        <v>171</v>
      </c>
      <c r="G27" s="2" t="s">
        <v>170</v>
      </c>
      <c r="H27" s="3">
        <v>352</v>
      </c>
      <c r="I27" s="4">
        <v>181.09</v>
      </c>
      <c r="J27" s="4">
        <v>63743.68</v>
      </c>
      <c r="K27" s="4">
        <v>190.14450000000002</v>
      </c>
      <c r="L27" s="1">
        <v>46086</v>
      </c>
      <c r="M27" s="21">
        <v>66930.864000000001</v>
      </c>
      <c r="N27" s="22" t="s">
        <v>97</v>
      </c>
      <c r="O27" s="2"/>
      <c r="P27" s="7">
        <v>23</v>
      </c>
      <c r="Q27" s="66">
        <v>759.16103276712329</v>
      </c>
      <c r="R27" s="2"/>
      <c r="S27" s="2" t="s">
        <v>175</v>
      </c>
      <c r="T27" s="2"/>
      <c r="U27" s="2"/>
      <c r="V27" s="2"/>
      <c r="W27" s="23">
        <v>46110</v>
      </c>
    </row>
    <row r="28" spans="2:23">
      <c r="B28" s="18">
        <v>108</v>
      </c>
      <c r="C28" s="1">
        <v>46086</v>
      </c>
      <c r="D28" s="1">
        <v>46086</v>
      </c>
      <c r="E28" s="19" t="s">
        <v>26</v>
      </c>
      <c r="F28" s="19" t="s">
        <v>29</v>
      </c>
      <c r="G28" s="2" t="s">
        <v>167</v>
      </c>
      <c r="H28" s="3">
        <v>1000.59</v>
      </c>
      <c r="I28" s="4">
        <v>285.71420000000001</v>
      </c>
      <c r="J28" s="4">
        <v>285882.77137800003</v>
      </c>
      <c r="K28" s="4">
        <v>299.99991</v>
      </c>
      <c r="L28" s="1">
        <v>46102</v>
      </c>
      <c r="M28" s="21">
        <v>300176.90994690004</v>
      </c>
      <c r="N28" s="22" t="s">
        <v>97</v>
      </c>
      <c r="O28" s="2"/>
      <c r="P28" s="7">
        <v>9</v>
      </c>
      <c r="Q28" s="66">
        <v>1332.292038668433</v>
      </c>
      <c r="R28" s="2"/>
      <c r="S28" s="2">
        <v>31752</v>
      </c>
      <c r="T28" s="2"/>
      <c r="U28" s="2"/>
      <c r="V28" s="2"/>
      <c r="W28" s="23">
        <v>46112</v>
      </c>
    </row>
    <row r="30" spans="2:23">
      <c r="Q30" s="6">
        <f>SUM(Q12:Q29)</f>
        <v>25172.63930784597</v>
      </c>
    </row>
    <row r="33" spans="4:23">
      <c r="D33" s="1">
        <v>45993</v>
      </c>
      <c r="E33" s="2" t="s">
        <v>26</v>
      </c>
      <c r="F33" s="2" t="s">
        <v>29</v>
      </c>
      <c r="G33" s="147" t="s">
        <v>167</v>
      </c>
      <c r="H33" s="3">
        <v>502.32</v>
      </c>
      <c r="I33" s="4">
        <v>264.76190000000003</v>
      </c>
      <c r="J33" s="4">
        <v>132995.19760800002</v>
      </c>
      <c r="K33" s="4">
        <v>277.99999500000001</v>
      </c>
      <c r="L33" s="1">
        <v>46011</v>
      </c>
      <c r="M33" s="21">
        <v>139644.95748840002</v>
      </c>
      <c r="N33" s="22" t="s">
        <v>99</v>
      </c>
      <c r="O33" s="2"/>
      <c r="P33" s="7">
        <v>75</v>
      </c>
      <c r="Q33" s="66">
        <v>5164.9504824476717</v>
      </c>
      <c r="R33" s="2"/>
      <c r="S33" s="2">
        <v>22819</v>
      </c>
      <c r="T33" s="2"/>
      <c r="U33" s="2"/>
      <c r="V33" s="2"/>
      <c r="W33" s="23">
        <v>46087</v>
      </c>
    </row>
    <row r="34" spans="4:23">
      <c r="D34" s="1">
        <v>45995</v>
      </c>
      <c r="E34" s="2" t="s">
        <v>26</v>
      </c>
      <c r="F34" s="2"/>
      <c r="G34" s="2" t="s">
        <v>35</v>
      </c>
      <c r="H34" s="3">
        <v>320</v>
      </c>
      <c r="I34" s="4">
        <v>280.95229999999998</v>
      </c>
      <c r="J34" s="4">
        <v>89904.73599999999</v>
      </c>
      <c r="K34" s="4">
        <v>294.99991499999999</v>
      </c>
      <c r="L34" s="1">
        <v>46013</v>
      </c>
      <c r="M34" s="21">
        <v>94399.972799999989</v>
      </c>
      <c r="N34" s="22" t="s">
        <v>99</v>
      </c>
      <c r="O34" s="2"/>
      <c r="P34" s="7">
        <v>73</v>
      </c>
      <c r="Q34" s="66">
        <v>3398.3990207999996</v>
      </c>
      <c r="R34" s="2"/>
      <c r="S34" s="2">
        <v>23010</v>
      </c>
      <c r="T34" s="2"/>
      <c r="U34" s="2"/>
      <c r="V34" s="2"/>
      <c r="W34" s="23">
        <v>46087</v>
      </c>
    </row>
    <row r="35" spans="4:23">
      <c r="D35" s="1">
        <v>46016</v>
      </c>
      <c r="E35" s="2" t="s">
        <v>26</v>
      </c>
      <c r="F35" s="2" t="s">
        <v>29</v>
      </c>
      <c r="G35" s="147" t="s">
        <v>167</v>
      </c>
      <c r="H35" s="3">
        <v>1008.82</v>
      </c>
      <c r="I35" s="4">
        <v>264.76190000000003</v>
      </c>
      <c r="J35" s="4">
        <v>267097.09995800006</v>
      </c>
      <c r="K35" s="4">
        <v>277.99999500000001</v>
      </c>
      <c r="L35" s="1">
        <v>46034</v>
      </c>
      <c r="M35" s="21">
        <v>280451.95495590003</v>
      </c>
      <c r="N35" s="22" t="s">
        <v>99</v>
      </c>
      <c r="O35" s="2"/>
      <c r="P35" s="7">
        <v>56</v>
      </c>
      <c r="Q35" s="66">
        <v>7745.0841259054032</v>
      </c>
      <c r="R35" s="2"/>
      <c r="S35" s="2">
        <v>24850</v>
      </c>
      <c r="T35" s="2"/>
      <c r="U35" s="2"/>
      <c r="V35" s="2"/>
      <c r="W35" s="23">
        <v>46090</v>
      </c>
    </row>
    <row r="36" spans="4:23">
      <c r="D36" s="1">
        <v>46032</v>
      </c>
      <c r="E36" s="2" t="s">
        <v>26</v>
      </c>
      <c r="F36" s="2" t="s">
        <v>156</v>
      </c>
      <c r="G36" s="2" t="s">
        <v>35</v>
      </c>
      <c r="H36" s="3">
        <v>180</v>
      </c>
      <c r="I36" s="4">
        <v>302</v>
      </c>
      <c r="J36" s="4">
        <v>54360</v>
      </c>
      <c r="K36" s="4">
        <v>317.10000000000002</v>
      </c>
      <c r="L36" s="1">
        <v>46050</v>
      </c>
      <c r="M36" s="21">
        <v>57078.000000000007</v>
      </c>
      <c r="N36" s="22" t="s">
        <v>99</v>
      </c>
      <c r="O36" s="2"/>
      <c r="P36" s="7">
        <v>40</v>
      </c>
      <c r="Q36" s="66">
        <v>1125.922191780822</v>
      </c>
      <c r="R36" s="2"/>
      <c r="S36" s="2">
        <v>26396</v>
      </c>
      <c r="T36" s="2"/>
      <c r="U36" s="2"/>
      <c r="V36" s="2"/>
      <c r="W36" s="23">
        <v>46090</v>
      </c>
    </row>
    <row r="37" spans="4:23">
      <c r="D37" s="1">
        <v>46037</v>
      </c>
      <c r="E37" s="2" t="s">
        <v>26</v>
      </c>
      <c r="F37" s="2"/>
      <c r="G37" s="147" t="s">
        <v>167</v>
      </c>
      <c r="H37" s="3">
        <v>496.7</v>
      </c>
      <c r="I37" s="4">
        <v>264.76190000000003</v>
      </c>
      <c r="J37" s="4">
        <v>131507.23573000001</v>
      </c>
      <c r="K37" s="4">
        <v>277.99999500000001</v>
      </c>
      <c r="L37" s="1">
        <v>46055</v>
      </c>
      <c r="M37" s="21">
        <v>138082.59751650001</v>
      </c>
      <c r="N37" s="22" t="s">
        <v>99</v>
      </c>
      <c r="O37" s="2"/>
      <c r="P37" s="7">
        <v>36</v>
      </c>
      <c r="Q37" s="66">
        <v>2451.438991525808</v>
      </c>
      <c r="R37" s="2"/>
      <c r="S37" s="2">
        <v>26842</v>
      </c>
      <c r="T37" s="2"/>
      <c r="U37" s="2"/>
      <c r="V37" s="2"/>
      <c r="W37" s="23">
        <v>46090</v>
      </c>
    </row>
    <row r="38" spans="4:23">
      <c r="D38" s="1">
        <v>46038</v>
      </c>
      <c r="E38" s="2" t="s">
        <v>26</v>
      </c>
      <c r="F38" s="2"/>
      <c r="G38" s="2" t="s">
        <v>35</v>
      </c>
      <c r="H38" s="3">
        <v>200</v>
      </c>
      <c r="I38" s="4">
        <v>302</v>
      </c>
      <c r="J38" s="4">
        <v>60400</v>
      </c>
      <c r="K38" s="4">
        <v>317.10000000000002</v>
      </c>
      <c r="L38" s="1">
        <v>46056</v>
      </c>
      <c r="M38" s="21">
        <v>63420.000000000007</v>
      </c>
      <c r="N38" s="22" t="s">
        <v>99</v>
      </c>
      <c r="O38" s="2"/>
      <c r="P38" s="7">
        <v>57</v>
      </c>
      <c r="Q38" s="66">
        <v>1782.7101369863014</v>
      </c>
      <c r="R38" s="2"/>
      <c r="S38" s="2">
        <v>26999</v>
      </c>
      <c r="T38" s="2"/>
      <c r="U38" s="2"/>
      <c r="V38" s="2"/>
      <c r="W38" s="23">
        <v>46112</v>
      </c>
    </row>
    <row r="39" spans="4:23">
      <c r="D39" s="1">
        <v>46044</v>
      </c>
      <c r="E39" s="2" t="s">
        <v>26</v>
      </c>
      <c r="F39" s="2"/>
      <c r="G39" s="147" t="s">
        <v>167</v>
      </c>
      <c r="H39" s="3">
        <v>495.24</v>
      </c>
      <c r="I39" s="4">
        <v>264.76190000000003</v>
      </c>
      <c r="J39" s="4">
        <v>131120.68335600002</v>
      </c>
      <c r="K39" s="4">
        <v>277.99999500000001</v>
      </c>
      <c r="L39" s="1">
        <v>46062</v>
      </c>
      <c r="M39" s="21">
        <v>137676.71752380001</v>
      </c>
      <c r="N39" s="22" t="s">
        <v>99</v>
      </c>
      <c r="O39" s="2"/>
      <c r="P39" s="7">
        <v>51</v>
      </c>
      <c r="Q39" s="66">
        <v>3462.6637448451615</v>
      </c>
      <c r="R39" s="2"/>
      <c r="S39" s="2">
        <v>27689</v>
      </c>
      <c r="T39" s="2"/>
      <c r="U39" s="2"/>
      <c r="V39" s="2"/>
      <c r="W39" s="23">
        <v>46112</v>
      </c>
    </row>
    <row r="40" spans="4:23">
      <c r="D40" s="1">
        <v>46050</v>
      </c>
      <c r="E40" s="2" t="s">
        <v>26</v>
      </c>
      <c r="F40" s="2"/>
      <c r="G40" s="147" t="s">
        <v>167</v>
      </c>
      <c r="H40" s="3">
        <v>999.2</v>
      </c>
      <c r="I40" s="4">
        <v>285.70999999999998</v>
      </c>
      <c r="J40" s="4">
        <v>285481.43199999997</v>
      </c>
      <c r="K40" s="4">
        <v>299.99549999999999</v>
      </c>
      <c r="L40" s="1">
        <v>46068</v>
      </c>
      <c r="M40" s="21">
        <v>299755.5036</v>
      </c>
      <c r="N40" s="22" t="s">
        <v>99</v>
      </c>
      <c r="O40" s="2"/>
      <c r="P40" s="7">
        <v>45</v>
      </c>
      <c r="Q40" s="66">
        <v>6652.1084360547939</v>
      </c>
      <c r="R40" s="2"/>
      <c r="S40" s="2">
        <v>28387</v>
      </c>
      <c r="T40" s="2"/>
      <c r="U40" s="2"/>
      <c r="V40" s="2"/>
      <c r="W40" s="23">
        <v>46112</v>
      </c>
    </row>
    <row r="41" spans="4:23">
      <c r="D41" s="1">
        <v>46057</v>
      </c>
      <c r="E41" s="2" t="s">
        <v>26</v>
      </c>
      <c r="F41" s="2"/>
      <c r="G41" s="147" t="s">
        <v>167</v>
      </c>
      <c r="H41" s="3">
        <v>990.14</v>
      </c>
      <c r="I41" s="4">
        <v>285.70999999999998</v>
      </c>
      <c r="J41" s="4">
        <v>282892.89939999999</v>
      </c>
      <c r="K41" s="4">
        <v>299.99549999999999</v>
      </c>
      <c r="L41" s="1">
        <v>46075</v>
      </c>
      <c r="M41" s="21">
        <v>297037.54437000002</v>
      </c>
      <c r="N41" s="22" t="s">
        <v>97</v>
      </c>
      <c r="O41" s="2"/>
      <c r="P41" s="7">
        <v>44</v>
      </c>
      <c r="Q41" s="66">
        <v>6445.3078120832879</v>
      </c>
      <c r="R41" s="2"/>
      <c r="S41" s="2">
        <v>29149</v>
      </c>
      <c r="T41" s="2"/>
      <c r="U41" s="2"/>
      <c r="V41" s="2"/>
      <c r="W41" s="23">
        <v>46119</v>
      </c>
    </row>
    <row r="42" spans="4:23">
      <c r="D42" s="1">
        <v>46060</v>
      </c>
      <c r="E42" s="2" t="s">
        <v>26</v>
      </c>
      <c r="F42" s="2"/>
      <c r="G42" s="2" t="s">
        <v>167</v>
      </c>
      <c r="H42" s="3">
        <v>489.21</v>
      </c>
      <c r="I42" s="4">
        <v>285.70999999999998</v>
      </c>
      <c r="J42" s="4">
        <v>139772.18909999999</v>
      </c>
      <c r="K42" s="4">
        <v>299.99549999999999</v>
      </c>
      <c r="L42" s="1">
        <v>46078</v>
      </c>
      <c r="M42" s="21">
        <v>146760.79855499999</v>
      </c>
      <c r="N42" s="22" t="s">
        <v>99</v>
      </c>
      <c r="O42" s="2"/>
      <c r="P42" s="7">
        <v>48</v>
      </c>
      <c r="Q42" s="66">
        <v>3474.0090397676713</v>
      </c>
      <c r="R42" s="2"/>
      <c r="S42" s="2">
        <v>29633</v>
      </c>
      <c r="T42" s="2"/>
      <c r="U42" s="2"/>
      <c r="V42" s="2"/>
      <c r="W42" s="23">
        <v>46126</v>
      </c>
    </row>
    <row r="43" spans="4:23">
      <c r="D43" s="1">
        <v>46065</v>
      </c>
      <c r="E43" s="2" t="s">
        <v>26</v>
      </c>
      <c r="F43" s="2" t="s">
        <v>29</v>
      </c>
      <c r="G43" s="2" t="s">
        <v>167</v>
      </c>
      <c r="H43" s="3">
        <v>989.72</v>
      </c>
      <c r="I43" s="3">
        <v>285.70999999999998</v>
      </c>
      <c r="J43" s="4">
        <v>282772.90119999996</v>
      </c>
      <c r="K43" s="4">
        <v>299.99549999999999</v>
      </c>
      <c r="L43" s="1">
        <v>46083</v>
      </c>
      <c r="M43" s="21">
        <v>296911.54625999997</v>
      </c>
      <c r="N43" s="22" t="s">
        <v>99</v>
      </c>
      <c r="O43" s="2"/>
      <c r="P43" s="7">
        <v>41</v>
      </c>
      <c r="Q43" s="66">
        <v>6003.307428489863</v>
      </c>
      <c r="R43" s="2"/>
      <c r="S43" s="2">
        <v>30218</v>
      </c>
      <c r="T43" s="2"/>
      <c r="U43" s="2"/>
      <c r="V43" s="2"/>
      <c r="W43" s="23">
        <v>46126</v>
      </c>
    </row>
    <row r="44" spans="4:23">
      <c r="D44" s="1">
        <v>46081</v>
      </c>
      <c r="E44" s="2" t="s">
        <v>26</v>
      </c>
      <c r="F44" s="2"/>
      <c r="G44" s="2" t="s">
        <v>170</v>
      </c>
      <c r="H44" s="3">
        <v>352</v>
      </c>
      <c r="I44" s="4">
        <v>181.09</v>
      </c>
      <c r="J44" s="4">
        <v>63743.68</v>
      </c>
      <c r="K44" s="4">
        <v>190.14450000000002</v>
      </c>
      <c r="L44" s="1">
        <v>46099</v>
      </c>
      <c r="M44" s="21">
        <v>66930.864000000001</v>
      </c>
      <c r="N44" s="22" t="s">
        <v>99</v>
      </c>
      <c r="O44" s="2"/>
      <c r="P44" s="7">
        <v>25</v>
      </c>
      <c r="Q44" s="66">
        <v>825.17503561643844</v>
      </c>
      <c r="R44" s="2"/>
      <c r="S44" s="2" t="s">
        <v>193</v>
      </c>
      <c r="T44" s="2"/>
      <c r="U44" s="2"/>
      <c r="V44" s="2"/>
      <c r="W44" s="23">
        <v>46126</v>
      </c>
    </row>
    <row r="45" spans="4:23">
      <c r="D45" s="1">
        <v>46081</v>
      </c>
      <c r="E45" s="2" t="s">
        <v>26</v>
      </c>
      <c r="F45" s="2"/>
      <c r="G45" s="2" t="s">
        <v>170</v>
      </c>
      <c r="H45" s="3">
        <v>352</v>
      </c>
      <c r="I45" s="4">
        <v>181.09</v>
      </c>
      <c r="J45" s="4">
        <v>63743.68</v>
      </c>
      <c r="K45" s="4">
        <v>190.14450000000002</v>
      </c>
      <c r="L45" s="1">
        <v>46099</v>
      </c>
      <c r="M45" s="21">
        <v>66930.864000000001</v>
      </c>
      <c r="N45" s="22" t="s">
        <v>99</v>
      </c>
      <c r="O45" s="2"/>
      <c r="P45" s="7">
        <v>25</v>
      </c>
      <c r="Q45" s="66">
        <v>825.17503561643844</v>
      </c>
      <c r="R45" s="2"/>
      <c r="S45" s="2" t="s">
        <v>194</v>
      </c>
      <c r="T45" s="2"/>
      <c r="U45" s="2"/>
      <c r="V45" s="2"/>
      <c r="W45" s="23">
        <v>46126</v>
      </c>
    </row>
    <row r="46" spans="4:23">
      <c r="D46" s="1">
        <v>46081</v>
      </c>
      <c r="E46" s="2" t="s">
        <v>26</v>
      </c>
      <c r="F46" s="2"/>
      <c r="G46" s="2" t="s">
        <v>170</v>
      </c>
      <c r="H46" s="3">
        <v>352</v>
      </c>
      <c r="I46" s="4">
        <v>181.09</v>
      </c>
      <c r="J46" s="4">
        <v>63743.68</v>
      </c>
      <c r="K46" s="4">
        <v>190.14450000000002</v>
      </c>
      <c r="L46" s="1">
        <v>46099</v>
      </c>
      <c r="M46" s="21">
        <v>66930.864000000001</v>
      </c>
      <c r="N46" s="22" t="s">
        <v>99</v>
      </c>
      <c r="O46" s="2"/>
      <c r="P46" s="7">
        <v>25</v>
      </c>
      <c r="Q46" s="66">
        <v>825.17503561643844</v>
      </c>
      <c r="R46" s="2"/>
      <c r="S46" s="2" t="s">
        <v>195</v>
      </c>
      <c r="T46" s="2"/>
      <c r="U46" s="2"/>
      <c r="V46" s="2"/>
      <c r="W46" s="23">
        <v>46126</v>
      </c>
    </row>
    <row r="48" spans="4:23">
      <c r="Q48" s="6">
        <f>SUM(Q33:Q47)</f>
        <v>50181.4265175361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25-26</vt:lpstr>
      <vt:lpstr>25-26 JW</vt:lpstr>
      <vt:lpstr>SHEET</vt:lpstr>
      <vt:lpstr>26-27</vt:lpstr>
      <vt:lpstr>26-27 JW</vt:lpstr>
      <vt:lpstr>Sheet1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2026-07-10T12:12:53Z</dcterms:modified>
</cp:coreProperties>
</file>