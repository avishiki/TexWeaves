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090"/>
  </bookViews>
  <sheets>
    <sheet name="25-26" sheetId="1" r:id="rId1"/>
    <sheet name="25-26 JW" sheetId="4" r:id="rId2"/>
    <sheet name="SHEET" sheetId="2" r:id="rId3"/>
    <sheet name="26-27" sheetId="5" r:id="rId4"/>
    <sheet name="26-27 JW" sheetId="6" r:id="rId5"/>
  </sheets>
  <definedNames>
    <definedName name="_xlnm._FilterDatabase" localSheetId="0" hidden="1">'25-26'!$A$2:$AH$251</definedName>
    <definedName name="_xlnm._FilterDatabase" localSheetId="1" hidden="1">'25-26 JW'!$A$2:$O$39</definedName>
    <definedName name="_xlnm._FilterDatabase" localSheetId="3" hidden="1">'26-27'!$A$2:$AH$132</definedName>
    <definedName name="_xlnm._FilterDatabase" localSheetId="2" hidden="1">SHEET!$A$3:$AC$45</definedName>
  </definedNames>
  <calcPr calcId="125725"/>
</workbook>
</file>

<file path=xl/calcChain.xml><?xml version="1.0" encoding="utf-8"?>
<calcChain xmlns="http://schemas.openxmlformats.org/spreadsheetml/2006/main">
  <c r="Q56" i="5"/>
  <c r="Q55"/>
  <c r="P56"/>
  <c r="P55"/>
  <c r="P5"/>
  <c r="Q222" i="1"/>
  <c r="Q219"/>
  <c r="Q218"/>
  <c r="Q217"/>
  <c r="Q216"/>
  <c r="Q215"/>
  <c r="Q214"/>
  <c r="Q213"/>
  <c r="Q211"/>
  <c r="Q210"/>
  <c r="Q207"/>
  <c r="Q206"/>
  <c r="Q205"/>
  <c r="Q201"/>
  <c r="Q200"/>
  <c r="Q187"/>
  <c r="Q186"/>
  <c r="Q95"/>
  <c r="Q94"/>
  <c r="Q93"/>
  <c r="Q87"/>
  <c r="Q84"/>
  <c r="Q82"/>
  <c r="Q79"/>
  <c r="Q77"/>
  <c r="Q76"/>
  <c r="Q75"/>
  <c r="Q74"/>
  <c r="Q72"/>
  <c r="Q67"/>
  <c r="Q64"/>
  <c r="I38" i="4"/>
  <c r="K38" s="1"/>
  <c r="M38" s="1"/>
  <c r="I37"/>
  <c r="K37" s="1"/>
  <c r="M37" s="1"/>
  <c r="I22" l="1"/>
  <c r="K22" s="1"/>
  <c r="M22" s="1"/>
  <c r="I36" l="1"/>
  <c r="K36" s="1"/>
  <c r="M36" s="1"/>
  <c r="I35"/>
  <c r="K35" s="1"/>
  <c r="M35" s="1"/>
  <c r="I34"/>
  <c r="K34" s="1"/>
  <c r="M34" s="1"/>
  <c r="I32"/>
  <c r="K32" s="1"/>
  <c r="M32" s="1"/>
  <c r="I33"/>
  <c r="K33" s="1"/>
  <c r="M33" s="1"/>
  <c r="J80" i="5"/>
  <c r="K80"/>
  <c r="M80" s="1"/>
  <c r="L80"/>
  <c r="J81"/>
  <c r="K81"/>
  <c r="M81" s="1"/>
  <c r="L81"/>
  <c r="J82"/>
  <c r="K82"/>
  <c r="M82" s="1"/>
  <c r="L82"/>
  <c r="J83"/>
  <c r="K83"/>
  <c r="M83" s="1"/>
  <c r="L83"/>
  <c r="J84"/>
  <c r="K84"/>
  <c r="M84" s="1"/>
  <c r="L84"/>
  <c r="J85"/>
  <c r="K85"/>
  <c r="M85" s="1"/>
  <c r="L85"/>
  <c r="J86"/>
  <c r="K86"/>
  <c r="M86" s="1"/>
  <c r="L86"/>
  <c r="J87"/>
  <c r="K87"/>
  <c r="M87" s="1"/>
  <c r="L87"/>
  <c r="I23" i="4"/>
  <c r="K23" s="1"/>
  <c r="M23" s="1"/>
  <c r="I24"/>
  <c r="K24" s="1"/>
  <c r="M24" s="1"/>
  <c r="I25"/>
  <c r="K25" s="1"/>
  <c r="M25" s="1"/>
  <c r="I26"/>
  <c r="K26" s="1"/>
  <c r="M26" s="1"/>
  <c r="I27"/>
  <c r="K27" s="1"/>
  <c r="M27" s="1"/>
  <c r="I28"/>
  <c r="K28" s="1"/>
  <c r="M28" s="1"/>
  <c r="I29"/>
  <c r="K29" s="1"/>
  <c r="M29" s="1"/>
  <c r="I30"/>
  <c r="K30" s="1"/>
  <c r="M30" s="1"/>
  <c r="I31"/>
  <c r="K31" s="1"/>
  <c r="M31" s="1"/>
  <c r="J28" i="5"/>
  <c r="K28"/>
  <c r="M28" s="1"/>
  <c r="L28"/>
  <c r="P28" s="1"/>
  <c r="J29"/>
  <c r="K29"/>
  <c r="M29" s="1"/>
  <c r="L29"/>
  <c r="P29" s="1"/>
  <c r="J30"/>
  <c r="K30"/>
  <c r="M30" s="1"/>
  <c r="L30"/>
  <c r="P30" s="1"/>
  <c r="J31"/>
  <c r="K31"/>
  <c r="M31" s="1"/>
  <c r="L31"/>
  <c r="P31" s="1"/>
  <c r="J32"/>
  <c r="K32"/>
  <c r="M32" s="1"/>
  <c r="L32"/>
  <c r="P32" s="1"/>
  <c r="J33"/>
  <c r="K33"/>
  <c r="M33" s="1"/>
  <c r="L33"/>
  <c r="P33" s="1"/>
  <c r="J34"/>
  <c r="K34"/>
  <c r="M34" s="1"/>
  <c r="L34"/>
  <c r="P34" s="1"/>
  <c r="J35"/>
  <c r="K35"/>
  <c r="M35" s="1"/>
  <c r="L35"/>
  <c r="P35" s="1"/>
  <c r="L77" l="1"/>
  <c r="P77" s="1"/>
  <c r="L73"/>
  <c r="P73" s="1"/>
  <c r="L71"/>
  <c r="P71" s="1"/>
  <c r="L70"/>
  <c r="P70" s="1"/>
  <c r="J24"/>
  <c r="K24"/>
  <c r="M24" s="1"/>
  <c r="L24"/>
  <c r="P24" s="1"/>
  <c r="J25"/>
  <c r="K25"/>
  <c r="M25" s="1"/>
  <c r="L25"/>
  <c r="P25" s="1"/>
  <c r="J26"/>
  <c r="K26"/>
  <c r="M26" s="1"/>
  <c r="L26"/>
  <c r="P26" s="1"/>
  <c r="J27"/>
  <c r="K27"/>
  <c r="M27" s="1"/>
  <c r="L27"/>
  <c r="P27" s="1"/>
  <c r="L13"/>
  <c r="P13" s="1"/>
  <c r="J13"/>
  <c r="K13"/>
  <c r="M13" s="1"/>
  <c r="J74"/>
  <c r="K74"/>
  <c r="M74" s="1"/>
  <c r="L74"/>
  <c r="P74" s="1"/>
  <c r="J75"/>
  <c r="K75"/>
  <c r="M75" s="1"/>
  <c r="L75"/>
  <c r="P75" s="1"/>
  <c r="J76"/>
  <c r="K76"/>
  <c r="M76" s="1"/>
  <c r="L76"/>
  <c r="P76" s="1"/>
  <c r="J77"/>
  <c r="K77"/>
  <c r="M77" s="1"/>
  <c r="J78"/>
  <c r="K78"/>
  <c r="M78" s="1"/>
  <c r="L78"/>
  <c r="P78" s="1"/>
  <c r="J79"/>
  <c r="K79"/>
  <c r="M79" s="1"/>
  <c r="L79"/>
  <c r="P79" s="1"/>
  <c r="J67"/>
  <c r="K67"/>
  <c r="M67" s="1"/>
  <c r="L67"/>
  <c r="P67" s="1"/>
  <c r="J57"/>
  <c r="K57"/>
  <c r="M57" s="1"/>
  <c r="L57"/>
  <c r="P57" s="1"/>
  <c r="L54"/>
  <c r="L55"/>
  <c r="L56"/>
  <c r="L58"/>
  <c r="P58" s="1"/>
  <c r="L61"/>
  <c r="P61" s="1"/>
  <c r="L62"/>
  <c r="P62" s="1"/>
  <c r="L64"/>
  <c r="P64" s="1"/>
  <c r="L66"/>
  <c r="P66" s="1"/>
  <c r="L72"/>
  <c r="P72" s="1"/>
  <c r="L69"/>
  <c r="P69" s="1"/>
  <c r="L68"/>
  <c r="P68" s="1"/>
  <c r="L228" i="1"/>
  <c r="P228" s="1"/>
  <c r="J228"/>
  <c r="K228"/>
  <c r="M228" s="1"/>
  <c r="P227"/>
  <c r="L227"/>
  <c r="J227"/>
  <c r="K227"/>
  <c r="M227" s="1"/>
  <c r="L20" i="5"/>
  <c r="P20" s="1"/>
  <c r="L59"/>
  <c r="P59" s="1"/>
  <c r="L60"/>
  <c r="P60" s="1"/>
  <c r="L63"/>
  <c r="P63" s="1"/>
  <c r="L65"/>
  <c r="P65" s="1"/>
  <c r="L19"/>
  <c r="P19" s="1"/>
  <c r="L18"/>
  <c r="P18" s="1"/>
  <c r="L17"/>
  <c r="P17" s="1"/>
  <c r="L16"/>
  <c r="P16" s="1"/>
  <c r="L15"/>
  <c r="P15" s="1"/>
  <c r="L14"/>
  <c r="P14" s="1"/>
  <c r="L12"/>
  <c r="P12" s="1"/>
  <c r="L10"/>
  <c r="P10" s="1"/>
  <c r="L8"/>
  <c r="P8" s="1"/>
  <c r="L7"/>
  <c r="P7" s="1"/>
  <c r="L6"/>
  <c r="P6" s="1"/>
  <c r="J99" i="1"/>
  <c r="K99"/>
  <c r="M99" s="1"/>
  <c r="L99"/>
  <c r="P99" s="1"/>
  <c r="J100"/>
  <c r="K100"/>
  <c r="M100" s="1"/>
  <c r="L100"/>
  <c r="P100" s="1"/>
  <c r="K6" i="5"/>
  <c r="M6" s="1"/>
  <c r="K7"/>
  <c r="M7" s="1"/>
  <c r="K8"/>
  <c r="M8" s="1"/>
  <c r="K9"/>
  <c r="M9" s="1"/>
  <c r="K10"/>
  <c r="M10" s="1"/>
  <c r="K11"/>
  <c r="M11" s="1"/>
  <c r="K12"/>
  <c r="M12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5"/>
  <c r="M5" s="1"/>
  <c r="J6"/>
  <c r="J7"/>
  <c r="J8"/>
  <c r="J9"/>
  <c r="L9"/>
  <c r="P9" s="1"/>
  <c r="J10"/>
  <c r="J11"/>
  <c r="L11"/>
  <c r="P11" s="1"/>
  <c r="Q11" s="1"/>
  <c r="J12"/>
  <c r="J14"/>
  <c r="J15"/>
  <c r="J16"/>
  <c r="J17"/>
  <c r="J18"/>
  <c r="J19"/>
  <c r="J20"/>
  <c r="J21"/>
  <c r="L21"/>
  <c r="P21" s="1"/>
  <c r="J22"/>
  <c r="L22"/>
  <c r="P22" s="1"/>
  <c r="J23"/>
  <c r="L23"/>
  <c r="P23" s="1"/>
  <c r="H49"/>
  <c r="K56"/>
  <c r="M56" s="1"/>
  <c r="K58"/>
  <c r="M58" s="1"/>
  <c r="K59"/>
  <c r="M59" s="1"/>
  <c r="K60"/>
  <c r="M60" s="1"/>
  <c r="K61"/>
  <c r="M61" s="1"/>
  <c r="K62"/>
  <c r="M62" s="1"/>
  <c r="K63"/>
  <c r="M63" s="1"/>
  <c r="K64"/>
  <c r="M64" s="1"/>
  <c r="K65"/>
  <c r="M65" s="1"/>
  <c r="K66"/>
  <c r="M66" s="1"/>
  <c r="K68"/>
  <c r="M68" s="1"/>
  <c r="K69"/>
  <c r="M69" s="1"/>
  <c r="K70"/>
  <c r="M70" s="1"/>
  <c r="K71"/>
  <c r="M71" s="1"/>
  <c r="K72"/>
  <c r="M72" s="1"/>
  <c r="K73"/>
  <c r="M73" s="1"/>
  <c r="K55"/>
  <c r="M55" s="1"/>
  <c r="K54"/>
  <c r="M54" s="1"/>
  <c r="J55"/>
  <c r="J56"/>
  <c r="J58"/>
  <c r="J59"/>
  <c r="J60"/>
  <c r="J61"/>
  <c r="J62"/>
  <c r="J63"/>
  <c r="J64"/>
  <c r="J65"/>
  <c r="J66"/>
  <c r="J68"/>
  <c r="J69"/>
  <c r="J70"/>
  <c r="J71"/>
  <c r="J72"/>
  <c r="J73"/>
  <c r="H135"/>
  <c r="AF132"/>
  <c r="AC132"/>
  <c r="T132"/>
  <c r="Q132"/>
  <c r="N132"/>
  <c r="H132"/>
  <c r="L123"/>
  <c r="K123"/>
  <c r="M123" s="1"/>
  <c r="J123"/>
  <c r="AC118"/>
  <c r="T118"/>
  <c r="Q118"/>
  <c r="N118"/>
  <c r="H118"/>
  <c r="AF118"/>
  <c r="J54"/>
  <c r="AC49"/>
  <c r="T49"/>
  <c r="Q49"/>
  <c r="N49"/>
  <c r="AF49"/>
  <c r="L5"/>
  <c r="J5"/>
  <c r="P54" l="1"/>
  <c r="Q54" s="1"/>
  <c r="H119"/>
  <c r="G118" s="1"/>
  <c r="J135"/>
  <c r="I135" s="1"/>
  <c r="M132"/>
  <c r="B132" s="1"/>
  <c r="M49"/>
  <c r="M118"/>
  <c r="B118" s="1"/>
  <c r="I5" i="4"/>
  <c r="K5" s="1"/>
  <c r="M5" s="1"/>
  <c r="I6"/>
  <c r="K6" s="1"/>
  <c r="M6" s="1"/>
  <c r="I7"/>
  <c r="K7" s="1"/>
  <c r="M7" s="1"/>
  <c r="I8"/>
  <c r="K8" s="1"/>
  <c r="M8" s="1"/>
  <c r="I9"/>
  <c r="K9" s="1"/>
  <c r="M9" s="1"/>
  <c r="I10"/>
  <c r="K10" s="1"/>
  <c r="M10" s="1"/>
  <c r="I11"/>
  <c r="K11" s="1"/>
  <c r="M11" s="1"/>
  <c r="I12"/>
  <c r="K12" s="1"/>
  <c r="M12" s="1"/>
  <c r="I13"/>
  <c r="K13" s="1"/>
  <c r="M13" s="1"/>
  <c r="I14"/>
  <c r="K14" s="1"/>
  <c r="M14" s="1"/>
  <c r="I15"/>
  <c r="K15" s="1"/>
  <c r="M15" s="1"/>
  <c r="I16"/>
  <c r="K16" s="1"/>
  <c r="M16" s="1"/>
  <c r="I17"/>
  <c r="K17" s="1"/>
  <c r="M17" s="1"/>
  <c r="I18"/>
  <c r="K18" s="1"/>
  <c r="M18" s="1"/>
  <c r="I19"/>
  <c r="K19" s="1"/>
  <c r="M19" s="1"/>
  <c r="I20"/>
  <c r="K20" s="1"/>
  <c r="M20" s="1"/>
  <c r="I21"/>
  <c r="K21" s="1"/>
  <c r="M21" s="1"/>
  <c r="G50"/>
  <c r="L224" i="1"/>
  <c r="L223"/>
  <c r="L220"/>
  <c r="L192"/>
  <c r="L190"/>
  <c r="L180"/>
  <c r="L178"/>
  <c r="L177"/>
  <c r="L176"/>
  <c r="G49" i="5" l="1"/>
  <c r="B49"/>
  <c r="M135"/>
  <c r="I4" i="4"/>
  <c r="K4" s="1"/>
  <c r="M4" s="1"/>
  <c r="I3"/>
  <c r="K3" s="1"/>
  <c r="M3" s="1"/>
  <c r="J229" i="1"/>
  <c r="K229"/>
  <c r="M229" s="1"/>
  <c r="L229"/>
  <c r="P229" s="1"/>
  <c r="J226"/>
  <c r="K226"/>
  <c r="M226" s="1"/>
  <c r="L226"/>
  <c r="P226" s="1"/>
  <c r="J102"/>
  <c r="K102"/>
  <c r="M102" s="1"/>
  <c r="L102"/>
  <c r="P102" s="1"/>
  <c r="J101"/>
  <c r="K101"/>
  <c r="M101" s="1"/>
  <c r="L101"/>
  <c r="P101" s="1"/>
  <c r="J225"/>
  <c r="K225"/>
  <c r="M225" s="1"/>
  <c r="L225"/>
  <c r="P225" s="1"/>
  <c r="J224"/>
  <c r="K224"/>
  <c r="M224" s="1"/>
  <c r="P224"/>
  <c r="J223"/>
  <c r="K223"/>
  <c r="M223" s="1"/>
  <c r="P223"/>
  <c r="J98"/>
  <c r="K98"/>
  <c r="M98" s="1"/>
  <c r="L98"/>
  <c r="P98" s="1"/>
  <c r="J97"/>
  <c r="K97"/>
  <c r="M97" s="1"/>
  <c r="L97"/>
  <c r="P97" s="1"/>
  <c r="J96"/>
  <c r="K96"/>
  <c r="M96" s="1"/>
  <c r="L96"/>
  <c r="P96" s="1"/>
  <c r="J95"/>
  <c r="K95"/>
  <c r="M95" s="1"/>
  <c r="L95"/>
  <c r="P95" s="1"/>
  <c r="J94"/>
  <c r="K94"/>
  <c r="M94" s="1"/>
  <c r="L94"/>
  <c r="P94" s="1"/>
  <c r="J93"/>
  <c r="K93"/>
  <c r="M93" s="1"/>
  <c r="L93"/>
  <c r="P93" s="1"/>
  <c r="J222"/>
  <c r="K222"/>
  <c r="M222" s="1"/>
  <c r="L222"/>
  <c r="P222" s="1"/>
  <c r="J92"/>
  <c r="K92"/>
  <c r="M92" s="1"/>
  <c r="L92"/>
  <c r="P92" s="1"/>
  <c r="J91"/>
  <c r="K91"/>
  <c r="M91" s="1"/>
  <c r="L91"/>
  <c r="P91" s="1"/>
  <c r="L50" i="4"/>
  <c r="K50" l="1"/>
  <c r="H50" s="1"/>
  <c r="J221" i="1"/>
  <c r="K221"/>
  <c r="M221" s="1"/>
  <c r="L221"/>
  <c r="P221" s="1"/>
  <c r="J220"/>
  <c r="K220"/>
  <c r="M220" s="1"/>
  <c r="P220"/>
  <c r="J90"/>
  <c r="K90"/>
  <c r="M90" s="1"/>
  <c r="L90"/>
  <c r="P90" s="1"/>
  <c r="J89"/>
  <c r="K89"/>
  <c r="M89" s="1"/>
  <c r="L89"/>
  <c r="P89" s="1"/>
  <c r="J88"/>
  <c r="K88"/>
  <c r="M88" s="1"/>
  <c r="L88"/>
  <c r="P88" s="1"/>
  <c r="K87"/>
  <c r="M87" s="1"/>
  <c r="J87"/>
  <c r="L87"/>
  <c r="P87" s="1"/>
  <c r="J86"/>
  <c r="K86"/>
  <c r="M86" s="1"/>
  <c r="L86"/>
  <c r="P86" s="1"/>
  <c r="J85"/>
  <c r="K85"/>
  <c r="M85" s="1"/>
  <c r="L85"/>
  <c r="J84"/>
  <c r="K84"/>
  <c r="M84" s="1"/>
  <c r="L84"/>
  <c r="P84" s="1"/>
  <c r="L219"/>
  <c r="P219" s="1"/>
  <c r="K219"/>
  <c r="M219" s="1"/>
  <c r="J219"/>
  <c r="J218"/>
  <c r="K218"/>
  <c r="M218" s="1"/>
  <c r="L218"/>
  <c r="P218" s="1"/>
  <c r="J217"/>
  <c r="K217"/>
  <c r="M217" s="1"/>
  <c r="L217"/>
  <c r="P217" s="1"/>
  <c r="J216"/>
  <c r="K216"/>
  <c r="M216" s="1"/>
  <c r="L216"/>
  <c r="P216" s="1"/>
  <c r="J215"/>
  <c r="K215"/>
  <c r="M215" s="1"/>
  <c r="L215"/>
  <c r="P215" s="1"/>
  <c r="L209"/>
  <c r="P209" s="1"/>
  <c r="L208"/>
  <c r="P208" s="1"/>
  <c r="L204"/>
  <c r="P204" s="1"/>
  <c r="L203"/>
  <c r="P203" s="1"/>
  <c r="L202"/>
  <c r="P202" s="1"/>
  <c r="L199"/>
  <c r="P199" s="1"/>
  <c r="L198"/>
  <c r="P198" s="1"/>
  <c r="L197"/>
  <c r="P197" s="1"/>
  <c r="L195"/>
  <c r="P195" s="1"/>
  <c r="L194"/>
  <c r="P194" s="1"/>
  <c r="L193"/>
  <c r="P193" s="1"/>
  <c r="L191"/>
  <c r="P191" s="1"/>
  <c r="L189"/>
  <c r="P189" s="1"/>
  <c r="L188"/>
  <c r="P188" s="1"/>
  <c r="L185"/>
  <c r="P185" s="1"/>
  <c r="L183"/>
  <c r="P183" s="1"/>
  <c r="L182"/>
  <c r="P182" s="1"/>
  <c r="L181"/>
  <c r="P181" s="1"/>
  <c r="L179"/>
  <c r="P179" s="1"/>
  <c r="L175"/>
  <c r="P175" s="1"/>
  <c r="L54"/>
  <c r="P54" s="1"/>
  <c r="L48"/>
  <c r="P48" s="1"/>
  <c r="L41"/>
  <c r="P41" s="1"/>
  <c r="L39"/>
  <c r="L27"/>
  <c r="P27" s="1"/>
  <c r="L40"/>
  <c r="P40" s="1"/>
  <c r="L152"/>
  <c r="P152" s="1"/>
  <c r="J83"/>
  <c r="K83"/>
  <c r="M83" s="1"/>
  <c r="L83"/>
  <c r="P83" s="1"/>
  <c r="J81"/>
  <c r="K81"/>
  <c r="M81" s="1"/>
  <c r="L81"/>
  <c r="P81" s="1"/>
  <c r="J80"/>
  <c r="K80"/>
  <c r="M80" s="1"/>
  <c r="L80"/>
  <c r="P80" s="1"/>
  <c r="J214"/>
  <c r="K214"/>
  <c r="M214" s="1"/>
  <c r="L214"/>
  <c r="P214" s="1"/>
  <c r="Q85" l="1"/>
  <c r="P85"/>
  <c r="Q220"/>
  <c r="Q83"/>
  <c r="Q80"/>
  <c r="Q81"/>
  <c r="J213"/>
  <c r="K213"/>
  <c r="M213" s="1"/>
  <c r="L213"/>
  <c r="P213" s="1"/>
  <c r="J212"/>
  <c r="K212"/>
  <c r="M212" s="1"/>
  <c r="L212"/>
  <c r="P212" s="1"/>
  <c r="J82"/>
  <c r="K82"/>
  <c r="M82" s="1"/>
  <c r="L82"/>
  <c r="P82" s="1"/>
  <c r="J211"/>
  <c r="K211"/>
  <c r="M211" s="1"/>
  <c r="L211"/>
  <c r="P211" s="1"/>
  <c r="J79"/>
  <c r="K79"/>
  <c r="M79" s="1"/>
  <c r="L79"/>
  <c r="P79" s="1"/>
  <c r="J78"/>
  <c r="K78"/>
  <c r="M78" s="1"/>
  <c r="L78"/>
  <c r="P78" s="1"/>
  <c r="J210"/>
  <c r="K210"/>
  <c r="M210" s="1"/>
  <c r="L210"/>
  <c r="P210" s="1"/>
  <c r="J209"/>
  <c r="K209"/>
  <c r="M209" s="1"/>
  <c r="Q209" s="1"/>
  <c r="J208"/>
  <c r="K208"/>
  <c r="M208" s="1"/>
  <c r="Q208" s="1"/>
  <c r="J207"/>
  <c r="K207"/>
  <c r="M207" s="1"/>
  <c r="L207"/>
  <c r="P207" s="1"/>
  <c r="J206"/>
  <c r="K206"/>
  <c r="M206" s="1"/>
  <c r="L206"/>
  <c r="P206" s="1"/>
  <c r="L205"/>
  <c r="P205" s="1"/>
  <c r="J205"/>
  <c r="K205"/>
  <c r="M205" s="1"/>
  <c r="J204"/>
  <c r="K204"/>
  <c r="M204" s="1"/>
  <c r="Q204" s="1"/>
  <c r="J203"/>
  <c r="K203"/>
  <c r="M203" s="1"/>
  <c r="Q203" s="1"/>
  <c r="J202"/>
  <c r="K202"/>
  <c r="M202" s="1"/>
  <c r="Q202" s="1"/>
  <c r="J77"/>
  <c r="K77"/>
  <c r="M77" s="1"/>
  <c r="L77"/>
  <c r="P77" s="1"/>
  <c r="J76"/>
  <c r="K76"/>
  <c r="M76" s="1"/>
  <c r="L76"/>
  <c r="P76" s="1"/>
  <c r="J75"/>
  <c r="K75"/>
  <c r="M75" s="1"/>
  <c r="L75"/>
  <c r="P75" s="1"/>
  <c r="H254"/>
  <c r="J74"/>
  <c r="K74"/>
  <c r="M74" s="1"/>
  <c r="L74"/>
  <c r="P74" s="1"/>
  <c r="J201"/>
  <c r="K201"/>
  <c r="M201" s="1"/>
  <c r="L201"/>
  <c r="P201" s="1"/>
  <c r="J200"/>
  <c r="K200"/>
  <c r="M200" s="1"/>
  <c r="L200"/>
  <c r="P200" s="1"/>
  <c r="J199"/>
  <c r="K199"/>
  <c r="M199" s="1"/>
  <c r="Q199" s="1"/>
  <c r="J198"/>
  <c r="K198"/>
  <c r="M198" s="1"/>
  <c r="Q198" s="1"/>
  <c r="J197"/>
  <c r="K197"/>
  <c r="M197" s="1"/>
  <c r="Q197" s="1"/>
  <c r="J196"/>
  <c r="K196"/>
  <c r="M196" s="1"/>
  <c r="L196"/>
  <c r="P196" s="1"/>
  <c r="J195"/>
  <c r="K195"/>
  <c r="M195" s="1"/>
  <c r="Q195" s="1"/>
  <c r="J73"/>
  <c r="K73"/>
  <c r="M73" s="1"/>
  <c r="L73"/>
  <c r="P73" s="1"/>
  <c r="Q78" l="1"/>
  <c r="Q73"/>
  <c r="J72"/>
  <c r="K72"/>
  <c r="M72" s="1"/>
  <c r="L72"/>
  <c r="P72" s="1"/>
  <c r="K71"/>
  <c r="M71" s="1"/>
  <c r="J71"/>
  <c r="L71"/>
  <c r="P71" s="1"/>
  <c r="J65"/>
  <c r="K65"/>
  <c r="M65" s="1"/>
  <c r="L65"/>
  <c r="P65" s="1"/>
  <c r="L168"/>
  <c r="P168" s="1"/>
  <c r="J168"/>
  <c r="K168"/>
  <c r="M168" s="1"/>
  <c r="J194"/>
  <c r="K194"/>
  <c r="M194" s="1"/>
  <c r="Q194" s="1"/>
  <c r="J69"/>
  <c r="K69"/>
  <c r="M69" s="1"/>
  <c r="L69"/>
  <c r="P69" s="1"/>
  <c r="J193"/>
  <c r="K193"/>
  <c r="M193" s="1"/>
  <c r="Q193" s="1"/>
  <c r="J192"/>
  <c r="K192"/>
  <c r="M192" s="1"/>
  <c r="P192"/>
  <c r="J191"/>
  <c r="K191"/>
  <c r="M191" s="1"/>
  <c r="Q191" s="1"/>
  <c r="J190"/>
  <c r="K190"/>
  <c r="M190" s="1"/>
  <c r="P190"/>
  <c r="J70"/>
  <c r="K70"/>
  <c r="M70" s="1"/>
  <c r="L70"/>
  <c r="P70" s="1"/>
  <c r="J68"/>
  <c r="K68"/>
  <c r="M68" s="1"/>
  <c r="L68"/>
  <c r="P68" s="1"/>
  <c r="J67"/>
  <c r="K67"/>
  <c r="M67" s="1"/>
  <c r="L67"/>
  <c r="P67" s="1"/>
  <c r="J66"/>
  <c r="K66"/>
  <c r="M66" s="1"/>
  <c r="L66"/>
  <c r="P66" s="1"/>
  <c r="J64"/>
  <c r="K64"/>
  <c r="M64" s="1"/>
  <c r="L64"/>
  <c r="P64" s="1"/>
  <c r="J63"/>
  <c r="K63"/>
  <c r="M63" s="1"/>
  <c r="L63"/>
  <c r="P63" s="1"/>
  <c r="J62"/>
  <c r="K62"/>
  <c r="M62" s="1"/>
  <c r="L62"/>
  <c r="P62" s="1"/>
  <c r="J61"/>
  <c r="K61"/>
  <c r="M61" s="1"/>
  <c r="L61"/>
  <c r="P61" s="1"/>
  <c r="J60"/>
  <c r="K60"/>
  <c r="M60" s="1"/>
  <c r="L60"/>
  <c r="P60" s="1"/>
  <c r="J184"/>
  <c r="K184"/>
  <c r="M184" s="1"/>
  <c r="J189"/>
  <c r="K189"/>
  <c r="M189" s="1"/>
  <c r="Q189" s="1"/>
  <c r="J188"/>
  <c r="K188"/>
  <c r="M188" s="1"/>
  <c r="Q188" s="1"/>
  <c r="J187"/>
  <c r="K187"/>
  <c r="M187" s="1"/>
  <c r="L187"/>
  <c r="P187" s="1"/>
  <c r="J186"/>
  <c r="K186"/>
  <c r="M186" s="1"/>
  <c r="L186"/>
  <c r="P186" s="1"/>
  <c r="J185"/>
  <c r="K185"/>
  <c r="M185" s="1"/>
  <c r="Q185" s="1"/>
  <c r="J183"/>
  <c r="K183"/>
  <c r="M183" s="1"/>
  <c r="Q183" s="1"/>
  <c r="J182"/>
  <c r="K182"/>
  <c r="M182" s="1"/>
  <c r="Q182" s="1"/>
  <c r="J181"/>
  <c r="K181"/>
  <c r="M181" s="1"/>
  <c r="P180"/>
  <c r="J180"/>
  <c r="K180"/>
  <c r="M180" s="1"/>
  <c r="J179"/>
  <c r="K179"/>
  <c r="M179" s="1"/>
  <c r="P178"/>
  <c r="J178"/>
  <c r="K178"/>
  <c r="M178" s="1"/>
  <c r="Q178" l="1"/>
  <c r="Q69"/>
  <c r="Q190"/>
  <c r="Q61"/>
  <c r="Q62"/>
  <c r="Q192"/>
  <c r="Q180"/>
  <c r="Q168"/>
  <c r="Q71"/>
  <c r="Q63"/>
  <c r="Q70"/>
  <c r="Q66"/>
  <c r="L169"/>
  <c r="L167"/>
  <c r="L166"/>
  <c r="L161"/>
  <c r="L160"/>
  <c r="L159"/>
  <c r="L158"/>
  <c r="L153"/>
  <c r="L151"/>
  <c r="L149"/>
  <c r="L148"/>
  <c r="L146"/>
  <c r="L145"/>
  <c r="L144"/>
  <c r="L138"/>
  <c r="L137"/>
  <c r="L136"/>
  <c r="L135"/>
  <c r="L52"/>
  <c r="P52" s="1"/>
  <c r="L51"/>
  <c r="P51" s="1"/>
  <c r="L50"/>
  <c r="P50" s="1"/>
  <c r="L49"/>
  <c r="P49" s="1"/>
  <c r="L45"/>
  <c r="L42"/>
  <c r="L38"/>
  <c r="L37"/>
  <c r="L36"/>
  <c r="L32"/>
  <c r="L31"/>
  <c r="L29"/>
  <c r="P177"/>
  <c r="P176"/>
  <c r="L170"/>
  <c r="P170" s="1"/>
  <c r="K59" l="1"/>
  <c r="M59" s="1"/>
  <c r="J59"/>
  <c r="L59"/>
  <c r="P59" s="1"/>
  <c r="J177"/>
  <c r="K177"/>
  <c r="M177" s="1"/>
  <c r="Q177" s="1"/>
  <c r="J176"/>
  <c r="K176"/>
  <c r="M176" s="1"/>
  <c r="Q176" s="1"/>
  <c r="J58"/>
  <c r="K58"/>
  <c r="M58" s="1"/>
  <c r="L58"/>
  <c r="P58" s="1"/>
  <c r="J57"/>
  <c r="K57"/>
  <c r="M57" s="1"/>
  <c r="L57"/>
  <c r="P57" s="1"/>
  <c r="J56"/>
  <c r="K56"/>
  <c r="M56" s="1"/>
  <c r="L56"/>
  <c r="P56" s="1"/>
  <c r="L156"/>
  <c r="P156" s="1"/>
  <c r="L150"/>
  <c r="P150" s="1"/>
  <c r="L139"/>
  <c r="P139" s="1"/>
  <c r="L147"/>
  <c r="P147" s="1"/>
  <c r="P169"/>
  <c r="P160"/>
  <c r="P153"/>
  <c r="P151"/>
  <c r="P145"/>
  <c r="P137"/>
  <c r="P136"/>
  <c r="P167"/>
  <c r="P166"/>
  <c r="P161"/>
  <c r="P159"/>
  <c r="P158"/>
  <c r="P149"/>
  <c r="P148"/>
  <c r="P146"/>
  <c r="P144"/>
  <c r="P138"/>
  <c r="P135"/>
  <c r="P45"/>
  <c r="P42"/>
  <c r="P37"/>
  <c r="P36"/>
  <c r="P29"/>
  <c r="P38"/>
  <c r="P32"/>
  <c r="P31"/>
  <c r="L35"/>
  <c r="P35" s="1"/>
  <c r="L30"/>
  <c r="P30" s="1"/>
  <c r="Q58" l="1"/>
  <c r="Q57"/>
  <c r="Q56"/>
  <c r="J48"/>
  <c r="K48"/>
  <c r="M48" s="1"/>
  <c r="Q48" s="1"/>
  <c r="L244" l="1"/>
  <c r="L243"/>
  <c r="K244"/>
  <c r="M244" s="1"/>
  <c r="K243"/>
  <c r="M243" s="1"/>
  <c r="L134"/>
  <c r="P134" s="1"/>
  <c r="L124"/>
  <c r="P124" s="1"/>
  <c r="L122"/>
  <c r="L119"/>
  <c r="L118"/>
  <c r="L117"/>
  <c r="L116"/>
  <c r="J175"/>
  <c r="K175"/>
  <c r="M175" s="1"/>
  <c r="J174"/>
  <c r="K174"/>
  <c r="M174" s="1"/>
  <c r="L174"/>
  <c r="P174" s="1"/>
  <c r="J173"/>
  <c r="K173"/>
  <c r="M173" s="1"/>
  <c r="L173"/>
  <c r="P173" s="1"/>
  <c r="J172"/>
  <c r="K172"/>
  <c r="M172" s="1"/>
  <c r="L172"/>
  <c r="P172" s="1"/>
  <c r="J171"/>
  <c r="K171"/>
  <c r="M171" s="1"/>
  <c r="L171"/>
  <c r="P171" s="1"/>
  <c r="J170"/>
  <c r="K170"/>
  <c r="M170" s="1"/>
  <c r="J54"/>
  <c r="K54"/>
  <c r="M54" s="1"/>
  <c r="J55"/>
  <c r="K55"/>
  <c r="M55" s="1"/>
  <c r="L55"/>
  <c r="P55" s="1"/>
  <c r="L53"/>
  <c r="P53" s="1"/>
  <c r="J53"/>
  <c r="K53"/>
  <c r="M53" s="1"/>
  <c r="J52"/>
  <c r="K52"/>
  <c r="M52" s="1"/>
  <c r="J51"/>
  <c r="K51"/>
  <c r="M51" s="1"/>
  <c r="J50"/>
  <c r="K50"/>
  <c r="M50" s="1"/>
  <c r="J49"/>
  <c r="K49"/>
  <c r="M49" s="1"/>
  <c r="J169"/>
  <c r="K169"/>
  <c r="M169" s="1"/>
  <c r="Q169" s="1"/>
  <c r="L165"/>
  <c r="P165" s="1"/>
  <c r="L164"/>
  <c r="P164" s="1"/>
  <c r="L163"/>
  <c r="P163" s="1"/>
  <c r="L162"/>
  <c r="P162" s="1"/>
  <c r="L157"/>
  <c r="P157" s="1"/>
  <c r="L155"/>
  <c r="P155" s="1"/>
  <c r="L154"/>
  <c r="P154" s="1"/>
  <c r="L47"/>
  <c r="P47" s="1"/>
  <c r="L46"/>
  <c r="P46" s="1"/>
  <c r="L44"/>
  <c r="P44" s="1"/>
  <c r="L43"/>
  <c r="P43" s="1"/>
  <c r="Q55" l="1"/>
  <c r="J167"/>
  <c r="K167"/>
  <c r="M167" s="1"/>
  <c r="Q167" s="1"/>
  <c r="J166"/>
  <c r="K166"/>
  <c r="M166" s="1"/>
  <c r="Q166" s="1"/>
  <c r="J165"/>
  <c r="K165"/>
  <c r="M165" s="1"/>
  <c r="Q165" s="1"/>
  <c r="J164"/>
  <c r="K164"/>
  <c r="M164" s="1"/>
  <c r="Q164" s="1"/>
  <c r="J244"/>
  <c r="J243"/>
  <c r="J242"/>
  <c r="J241"/>
  <c r="J158"/>
  <c r="J159"/>
  <c r="J160"/>
  <c r="J161"/>
  <c r="J162"/>
  <c r="J163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17"/>
  <c r="J16"/>
  <c r="J7"/>
  <c r="J8"/>
  <c r="J9"/>
  <c r="J10"/>
  <c r="J11"/>
  <c r="J12"/>
  <c r="J13"/>
  <c r="J14"/>
  <c r="J15"/>
  <c r="J6"/>
  <c r="J5"/>
  <c r="J254" l="1"/>
  <c r="K158"/>
  <c r="M158" s="1"/>
  <c r="Q158" s="1"/>
  <c r="K161"/>
  <c r="M161" s="1"/>
  <c r="Q161" s="1"/>
  <c r="K163"/>
  <c r="M163" s="1"/>
  <c r="Q163" s="1"/>
  <c r="K162"/>
  <c r="M162" s="1"/>
  <c r="Q162" s="1"/>
  <c r="K160"/>
  <c r="M160" s="1"/>
  <c r="Q160" s="1"/>
  <c r="K159"/>
  <c r="M159" s="1"/>
  <c r="Q159" s="1"/>
  <c r="K45" l="1"/>
  <c r="M45" s="1"/>
  <c r="Q45" s="1"/>
  <c r="K157" l="1"/>
  <c r="M157" s="1"/>
  <c r="Q157" s="1"/>
  <c r="K156"/>
  <c r="M156" s="1"/>
  <c r="Q156" s="1"/>
  <c r="K154"/>
  <c r="M154" s="1"/>
  <c r="Q154" s="1"/>
  <c r="K155"/>
  <c r="M155" s="1"/>
  <c r="Q155" s="1"/>
  <c r="K153"/>
  <c r="M153" s="1"/>
  <c r="Q153" s="1"/>
  <c r="K47"/>
  <c r="M47" s="1"/>
  <c r="Q47" s="1"/>
  <c r="K46"/>
  <c r="M46" s="1"/>
  <c r="Q46" s="1"/>
  <c r="K44"/>
  <c r="M44" s="1"/>
  <c r="Q44" s="1"/>
  <c r="K43"/>
  <c r="M43" s="1"/>
  <c r="Q43" s="1"/>
  <c r="K42"/>
  <c r="M42" s="1"/>
  <c r="Q42" s="1"/>
  <c r="K41"/>
  <c r="M41" s="1"/>
  <c r="K242"/>
  <c r="M242" s="1"/>
  <c r="K241"/>
  <c r="M241" s="1"/>
  <c r="AC251"/>
  <c r="T251"/>
  <c r="Q251"/>
  <c r="N251"/>
  <c r="H251"/>
  <c r="AF251"/>
  <c r="L242"/>
  <c r="P243" s="1"/>
  <c r="L241"/>
  <c r="P241" s="1"/>
  <c r="Q242" l="1"/>
  <c r="M251"/>
  <c r="B251" l="1"/>
  <c r="L25" l="1"/>
  <c r="P25" s="1"/>
  <c r="K40"/>
  <c r="M40" s="1"/>
  <c r="K39"/>
  <c r="M39" s="1"/>
  <c r="P39"/>
  <c r="K38"/>
  <c r="M38" s="1"/>
  <c r="Q38" s="1"/>
  <c r="K37"/>
  <c r="M37" s="1"/>
  <c r="Q37" s="1"/>
  <c r="K36"/>
  <c r="M36" s="1"/>
  <c r="Q36" s="1"/>
  <c r="K152"/>
  <c r="M152" s="1"/>
  <c r="K151"/>
  <c r="M151" s="1"/>
  <c r="Q151" s="1"/>
  <c r="K150"/>
  <c r="M150" s="1"/>
  <c r="Q150" s="1"/>
  <c r="K149"/>
  <c r="M149" s="1"/>
  <c r="Q149" s="1"/>
  <c r="K148"/>
  <c r="M148" s="1"/>
  <c r="Q148" s="1"/>
  <c r="K147"/>
  <c r="M147" s="1"/>
  <c r="K35"/>
  <c r="M35" s="1"/>
  <c r="Q35" s="1"/>
  <c r="K34"/>
  <c r="M34" s="1"/>
  <c r="L34"/>
  <c r="P34" s="1"/>
  <c r="K33"/>
  <c r="M33" s="1"/>
  <c r="L33"/>
  <c r="P33" s="1"/>
  <c r="K32"/>
  <c r="M32" s="1"/>
  <c r="Q32" s="1"/>
  <c r="K31"/>
  <c r="M31" s="1"/>
  <c r="Q31" s="1"/>
  <c r="K30"/>
  <c r="M30" s="1"/>
  <c r="Q30" s="1"/>
  <c r="K29"/>
  <c r="M29" s="1"/>
  <c r="Q29" s="1"/>
  <c r="L28"/>
  <c r="P28" s="1"/>
  <c r="K28"/>
  <c r="M28" s="1"/>
  <c r="L143"/>
  <c r="P143" s="1"/>
  <c r="L142"/>
  <c r="P142" s="1"/>
  <c r="L141"/>
  <c r="P141" s="1"/>
  <c r="L140"/>
  <c r="P140" s="1"/>
  <c r="L133"/>
  <c r="L131"/>
  <c r="L130"/>
  <c r="L129"/>
  <c r="L128"/>
  <c r="L127"/>
  <c r="L125"/>
  <c r="L121"/>
  <c r="L120"/>
  <c r="L24"/>
  <c r="L23"/>
  <c r="L22"/>
  <c r="L21"/>
  <c r="L20"/>
  <c r="L19"/>
  <c r="L15"/>
  <c r="L14"/>
  <c r="L13"/>
  <c r="V13"/>
  <c r="Q39" l="1"/>
  <c r="Q28"/>
  <c r="Q34"/>
  <c r="Q33"/>
  <c r="P133"/>
  <c r="P24"/>
  <c r="K146"/>
  <c r="M146" s="1"/>
  <c r="Q146" s="1"/>
  <c r="K145"/>
  <c r="M145" s="1"/>
  <c r="Q145" s="1"/>
  <c r="K144"/>
  <c r="M144" s="1"/>
  <c r="Q144" s="1"/>
  <c r="K138"/>
  <c r="M138" s="1"/>
  <c r="Q138" s="1"/>
  <c r="K137"/>
  <c r="M137" s="1"/>
  <c r="Q137" s="1"/>
  <c r="K143"/>
  <c r="M143" s="1"/>
  <c r="Q143" s="1"/>
  <c r="K142"/>
  <c r="M142" s="1"/>
  <c r="Q142" s="1"/>
  <c r="K141"/>
  <c r="M141" s="1"/>
  <c r="Q141" s="1"/>
  <c r="K140"/>
  <c r="M140" s="1"/>
  <c r="Q140" s="1"/>
  <c r="K27"/>
  <c r="M27" s="1"/>
  <c r="Q27" s="1"/>
  <c r="K26"/>
  <c r="M26" s="1"/>
  <c r="L26"/>
  <c r="K25"/>
  <c r="M25" s="1"/>
  <c r="Q25" s="1"/>
  <c r="K139"/>
  <c r="M139" s="1"/>
  <c r="Q139" s="1"/>
  <c r="K136"/>
  <c r="M136" s="1"/>
  <c r="Q136" s="1"/>
  <c r="K135"/>
  <c r="M135" s="1"/>
  <c r="Q135" s="1"/>
  <c r="K134"/>
  <c r="M134" s="1"/>
  <c r="K132"/>
  <c r="M132" s="1"/>
  <c r="L132"/>
  <c r="P132" s="1"/>
  <c r="O44" i="2"/>
  <c r="M44"/>
  <c r="I44"/>
  <c r="O43"/>
  <c r="M43"/>
  <c r="I43"/>
  <c r="O42"/>
  <c r="M42"/>
  <c r="I42"/>
  <c r="O41"/>
  <c r="M41"/>
  <c r="I41"/>
  <c r="O40"/>
  <c r="M40"/>
  <c r="I40"/>
  <c r="O39"/>
  <c r="M39"/>
  <c r="I39"/>
  <c r="O38"/>
  <c r="M38"/>
  <c r="I38"/>
  <c r="O37"/>
  <c r="M37"/>
  <c r="I37"/>
  <c r="O36"/>
  <c r="M36"/>
  <c r="I36"/>
  <c r="O35"/>
  <c r="M35"/>
  <c r="I35"/>
  <c r="O34"/>
  <c r="M34"/>
  <c r="I34"/>
  <c r="O33"/>
  <c r="M33"/>
  <c r="I33"/>
  <c r="O32"/>
  <c r="M32"/>
  <c r="I32"/>
  <c r="M31"/>
  <c r="I31"/>
  <c r="S30"/>
  <c r="O30"/>
  <c r="M30"/>
  <c r="I30"/>
  <c r="S29"/>
  <c r="O29"/>
  <c r="M29"/>
  <c r="I29"/>
  <c r="S28"/>
  <c r="O28"/>
  <c r="M28"/>
  <c r="I28"/>
  <c r="S27"/>
  <c r="O27"/>
  <c r="M27"/>
  <c r="I27"/>
  <c r="S26"/>
  <c r="O26"/>
  <c r="M26"/>
  <c r="I26"/>
  <c r="S25"/>
  <c r="O25"/>
  <c r="M25"/>
  <c r="I25"/>
  <c r="S24"/>
  <c r="O24"/>
  <c r="M24"/>
  <c r="I24"/>
  <c r="S23"/>
  <c r="M23"/>
  <c r="I23"/>
  <c r="S22"/>
  <c r="M22"/>
  <c r="I22"/>
  <c r="S21"/>
  <c r="M21"/>
  <c r="I21"/>
  <c r="S20"/>
  <c r="M20"/>
  <c r="I20"/>
  <c r="S19"/>
  <c r="M19"/>
  <c r="I19"/>
  <c r="S18"/>
  <c r="M18"/>
  <c r="I18"/>
  <c r="S17"/>
  <c r="M17"/>
  <c r="I17"/>
  <c r="S16"/>
  <c r="M16"/>
  <c r="I16"/>
  <c r="S15"/>
  <c r="M15"/>
  <c r="I15"/>
  <c r="S14"/>
  <c r="M14"/>
  <c r="I14"/>
  <c r="S13"/>
  <c r="M13"/>
  <c r="I13"/>
  <c r="S12"/>
  <c r="M12"/>
  <c r="I12"/>
  <c r="S11"/>
  <c r="M11"/>
  <c r="I11"/>
  <c r="S10"/>
  <c r="M10"/>
  <c r="I10"/>
  <c r="S9"/>
  <c r="M9"/>
  <c r="I9"/>
  <c r="S8"/>
  <c r="M8"/>
  <c r="I8"/>
  <c r="S7"/>
  <c r="M7"/>
  <c r="I7"/>
  <c r="S6"/>
  <c r="M6"/>
  <c r="I6"/>
  <c r="S5"/>
  <c r="M5"/>
  <c r="I5"/>
  <c r="S4"/>
  <c r="M4"/>
  <c r="I4"/>
  <c r="K133" i="1"/>
  <c r="M133" s="1"/>
  <c r="K131"/>
  <c r="M131" s="1"/>
  <c r="P131"/>
  <c r="K130"/>
  <c r="M130" s="1"/>
  <c r="P130"/>
  <c r="P129"/>
  <c r="K129"/>
  <c r="M129" s="1"/>
  <c r="K128"/>
  <c r="M128" s="1"/>
  <c r="P128"/>
  <c r="K127"/>
  <c r="M127" s="1"/>
  <c r="P127"/>
  <c r="K24"/>
  <c r="M24" s="1"/>
  <c r="K23"/>
  <c r="M23" s="1"/>
  <c r="P23"/>
  <c r="K22"/>
  <c r="M22" s="1"/>
  <c r="P22"/>
  <c r="K21"/>
  <c r="M21" s="1"/>
  <c r="P21"/>
  <c r="K20"/>
  <c r="M20" s="1"/>
  <c r="P20"/>
  <c r="K19"/>
  <c r="M19" s="1"/>
  <c r="P19"/>
  <c r="K18"/>
  <c r="M18" s="1"/>
  <c r="L18"/>
  <c r="L126"/>
  <c r="P126" s="1"/>
  <c r="K126"/>
  <c r="M126" s="1"/>
  <c r="K125"/>
  <c r="M125" s="1"/>
  <c r="P125"/>
  <c r="AE124"/>
  <c r="AF124" s="1"/>
  <c r="AC236"/>
  <c r="K124"/>
  <c r="M124" s="1"/>
  <c r="AC110"/>
  <c r="AE17"/>
  <c r="AF17" s="1"/>
  <c r="K17"/>
  <c r="M17" s="1"/>
  <c r="L17"/>
  <c r="P17" s="1"/>
  <c r="K16"/>
  <c r="M16" s="1"/>
  <c r="K123"/>
  <c r="M123" s="1"/>
  <c r="L123"/>
  <c r="P123" s="1"/>
  <c r="K122"/>
  <c r="M122" s="1"/>
  <c r="L16"/>
  <c r="P16" s="1"/>
  <c r="P121"/>
  <c r="K121"/>
  <c r="M121" s="1"/>
  <c r="K120"/>
  <c r="M120" s="1"/>
  <c r="P120"/>
  <c r="K119"/>
  <c r="M119" s="1"/>
  <c r="K118"/>
  <c r="M118" s="1"/>
  <c r="K117"/>
  <c r="M117" s="1"/>
  <c r="K116"/>
  <c r="M116" s="1"/>
  <c r="K115"/>
  <c r="M115" s="1"/>
  <c r="L115"/>
  <c r="P115" s="1"/>
  <c r="T236"/>
  <c r="Q236"/>
  <c r="N236"/>
  <c r="H236"/>
  <c r="K15"/>
  <c r="M15" s="1"/>
  <c r="P15"/>
  <c r="K14"/>
  <c r="M14" s="1"/>
  <c r="P14"/>
  <c r="K13"/>
  <c r="M13" s="1"/>
  <c r="P13"/>
  <c r="K12"/>
  <c r="M12" s="1"/>
  <c r="L12"/>
  <c r="P12" s="1"/>
  <c r="K11"/>
  <c r="M11" s="1"/>
  <c r="L11"/>
  <c r="P11" s="1"/>
  <c r="K10"/>
  <c r="M10" s="1"/>
  <c r="L10"/>
  <c r="P10" s="1"/>
  <c r="K9"/>
  <c r="M9" s="1"/>
  <c r="L9"/>
  <c r="P9" s="1"/>
  <c r="L8"/>
  <c r="P8" s="1"/>
  <c r="K8"/>
  <c r="M8" s="1"/>
  <c r="T110"/>
  <c r="Q110"/>
  <c r="N110"/>
  <c r="H110"/>
  <c r="L7"/>
  <c r="P7" s="1"/>
  <c r="K7"/>
  <c r="M7" s="1"/>
  <c r="L6"/>
  <c r="P6" s="1"/>
  <c r="K6"/>
  <c r="M6" s="1"/>
  <c r="L5"/>
  <c r="P5" s="1"/>
  <c r="K5"/>
  <c r="M5" s="1"/>
  <c r="H237" l="1"/>
  <c r="G236" s="1"/>
  <c r="I254"/>
  <c r="Q6"/>
  <c r="Q8"/>
  <c r="Q9"/>
  <c r="Q5"/>
  <c r="Q11"/>
  <c r="Q123"/>
  <c r="Q132"/>
  <c r="Q10"/>
  <c r="Q115"/>
  <c r="Q7"/>
  <c r="Q126"/>
  <c r="Q12"/>
  <c r="Q127"/>
  <c r="Q17"/>
  <c r="P116"/>
  <c r="Q116" s="1"/>
  <c r="P18"/>
  <c r="Q18" s="1"/>
  <c r="P118"/>
  <c r="Q118" s="1"/>
  <c r="P122"/>
  <c r="Q122" s="1"/>
  <c r="Q134"/>
  <c r="Q124"/>
  <c r="P119"/>
  <c r="Q119" s="1"/>
  <c r="P117"/>
  <c r="Q117" s="1"/>
  <c r="P26"/>
  <c r="Q26" s="1"/>
  <c r="Q121"/>
  <c r="Q13"/>
  <c r="Q21"/>
  <c r="Q131"/>
  <c r="Q120"/>
  <c r="Q19"/>
  <c r="Q23"/>
  <c r="Q15"/>
  <c r="Q125"/>
  <c r="Q133"/>
  <c r="Q14"/>
  <c r="Q22"/>
  <c r="Q128"/>
  <c r="Q24"/>
  <c r="Q20"/>
  <c r="Q130"/>
  <c r="Q129"/>
  <c r="AF236"/>
  <c r="AF110"/>
  <c r="M236"/>
  <c r="B236" s="1"/>
  <c r="M110"/>
  <c r="B110" s="1"/>
  <c r="G110" l="1"/>
  <c r="M254"/>
</calcChain>
</file>

<file path=xl/sharedStrings.xml><?xml version="1.0" encoding="utf-8"?>
<sst xmlns="http://schemas.openxmlformats.org/spreadsheetml/2006/main" count="2064" uniqueCount="315">
  <si>
    <t>H NO</t>
  </si>
  <si>
    <t>RECORD DATE</t>
  </si>
  <si>
    <t>BILL DATE</t>
  </si>
  <si>
    <t>DEALER</t>
  </si>
  <si>
    <t>LOT NO.</t>
  </si>
  <si>
    <t>FILAMENT/DENIER</t>
  </si>
  <si>
    <t>QUANTITY</t>
  </si>
  <si>
    <t>RATE</t>
  </si>
  <si>
    <t>RATE+GST</t>
  </si>
  <si>
    <t>DUE DATE</t>
  </si>
  <si>
    <t>AMOUNT</t>
  </si>
  <si>
    <t>CQ NO</t>
  </si>
  <si>
    <t>DUE DAYS</t>
  </si>
  <si>
    <t>INTEREST @18% PA</t>
  </si>
  <si>
    <t>Amount+INTEREST</t>
  </si>
  <si>
    <t>BILL NO</t>
  </si>
  <si>
    <t>INTEREST PAID</t>
  </si>
  <si>
    <t>NET PAID</t>
  </si>
  <si>
    <t>PAID DATE</t>
  </si>
  <si>
    <t>MANOHAR CAPITAL MARKETS LTD</t>
  </si>
  <si>
    <t>50/24 SD CATONIC</t>
  </si>
  <si>
    <t>OZONE SILK INDIA LLP</t>
  </si>
  <si>
    <t>20/1 BRT NYLON MONO BEAM</t>
  </si>
  <si>
    <t>YM-1668</t>
  </si>
  <si>
    <t>YM-1689</t>
  </si>
  <si>
    <t>YM-1690</t>
  </si>
  <si>
    <t>SHREE RAM YARN TRADING CO</t>
  </si>
  <si>
    <t>F-64</t>
  </si>
  <si>
    <t>64/1 MONO</t>
  </si>
  <si>
    <t>SDBS2002</t>
  </si>
  <si>
    <t>SDBS2002/PQ GRADE</t>
  </si>
  <si>
    <t>YM-1693</t>
  </si>
  <si>
    <t>YM-1694</t>
  </si>
  <si>
    <t>TEX</t>
  </si>
  <si>
    <t>WEAVES</t>
  </si>
  <si>
    <t>20/1 MONO TEX</t>
  </si>
  <si>
    <t>KGD2</t>
  </si>
  <si>
    <t>97 MICRO STRETCH</t>
  </si>
  <si>
    <t>LYS005</t>
  </si>
  <si>
    <t>PURCHASE RETURN</t>
  </si>
  <si>
    <t>PURCHASE</t>
  </si>
  <si>
    <t>YM-1767</t>
  </si>
  <si>
    <t>LYCRA</t>
  </si>
  <si>
    <t>CATCH CORD</t>
  </si>
  <si>
    <t>YM-2098</t>
  </si>
  <si>
    <t>YM-2085</t>
  </si>
  <si>
    <t>YM-2076</t>
  </si>
  <si>
    <t>YM-2086</t>
  </si>
  <si>
    <t>YM-2107</t>
  </si>
  <si>
    <t>YM-2109</t>
  </si>
  <si>
    <t>YM-1893</t>
  </si>
  <si>
    <t>YM-1894</t>
  </si>
  <si>
    <t>YM-1892</t>
  </si>
  <si>
    <t>YM-1921</t>
  </si>
  <si>
    <t>YM-1922</t>
  </si>
  <si>
    <t>YM-2108</t>
  </si>
  <si>
    <t>A</t>
  </si>
  <si>
    <t>WJ BEAMING</t>
  </si>
  <si>
    <t>WEAVER</t>
  </si>
  <si>
    <t>GREY QUA.</t>
  </si>
  <si>
    <t>WARP YARN</t>
  </si>
  <si>
    <t>WARP ENDS</t>
  </si>
  <si>
    <t>MTR</t>
  </si>
  <si>
    <t>BEAM NO</t>
  </si>
  <si>
    <t>PUR PARTY</t>
  </si>
  <si>
    <t>null</t>
  </si>
  <si>
    <t>PICK</t>
  </si>
  <si>
    <t>R S</t>
  </si>
  <si>
    <t>WEFT YARN</t>
  </si>
  <si>
    <t>WEIGHT</t>
  </si>
  <si>
    <t>MC NO</t>
  </si>
  <si>
    <t>REC.</t>
  </si>
  <si>
    <t>PEND.</t>
  </si>
  <si>
    <t>HAR MAN TEX</t>
  </si>
  <si>
    <t>N C CHIFFON</t>
  </si>
  <si>
    <t>20/1 MONO NYLON</t>
  </si>
  <si>
    <t>OZONE</t>
  </si>
  <si>
    <t>50/24 CAT(s)</t>
  </si>
  <si>
    <t>HAR MAN WEAVES</t>
  </si>
  <si>
    <t>N C MOSS</t>
  </si>
  <si>
    <t>50/24 CAT(s&amp;z)</t>
  </si>
  <si>
    <t>N C SATIN</t>
  </si>
  <si>
    <t>GIPSY</t>
  </si>
  <si>
    <t>20/1 BRT MONO TEX</t>
  </si>
  <si>
    <t>NC JCOP</t>
  </si>
  <si>
    <t>20/1 MONO GOLD</t>
  </si>
  <si>
    <t>HAR MAN</t>
  </si>
  <si>
    <t>VAARI GOLD</t>
  </si>
  <si>
    <t>30/6 BRT</t>
  </si>
  <si>
    <t>SELF</t>
  </si>
  <si>
    <t xml:space="preserve">    </t>
  </si>
  <si>
    <t>KRISHNAYASH YARN PVT LTD</t>
  </si>
  <si>
    <t>292-B CH</t>
  </si>
  <si>
    <t>KY019151</t>
  </si>
  <si>
    <t>OMKAR FILAMENTS</t>
  </si>
  <si>
    <t>IE289</t>
  </si>
  <si>
    <t>KY019150</t>
  </si>
  <si>
    <t>NEFT</t>
  </si>
  <si>
    <t>FT</t>
  </si>
  <si>
    <t>RTGS</t>
  </si>
  <si>
    <t>IE292</t>
  </si>
  <si>
    <t>YP-774</t>
  </si>
  <si>
    <t>YP-775</t>
  </si>
  <si>
    <t>HRK POLY YARN LLP</t>
  </si>
  <si>
    <t>HRK2727</t>
  </si>
  <si>
    <t>B299</t>
  </si>
  <si>
    <t>B298</t>
  </si>
  <si>
    <t>PAID</t>
  </si>
  <si>
    <t>TEX WEAVES</t>
  </si>
  <si>
    <t>RR-PURCHASE</t>
  </si>
  <si>
    <t>NILKANTH TEXTILE</t>
  </si>
  <si>
    <t>OZONE TEXTILE PVT. LTD</t>
  </si>
  <si>
    <t>AMT B4 GST</t>
  </si>
  <si>
    <t>T</t>
  </si>
  <si>
    <t>W</t>
  </si>
  <si>
    <t>JARIWALA YARN TRADERS</t>
  </si>
  <si>
    <t>75 ANMOL 46</t>
  </si>
  <si>
    <t>D/1030</t>
  </si>
  <si>
    <t>CREDIT NOTE</t>
  </si>
  <si>
    <t>D/1029</t>
  </si>
  <si>
    <t>RR</t>
  </si>
  <si>
    <t>EASTERN</t>
  </si>
  <si>
    <t>KY035077/25</t>
  </si>
  <si>
    <t>KY035220/25</t>
  </si>
  <si>
    <t>KY035985/25</t>
  </si>
  <si>
    <t>KY036257/25</t>
  </si>
  <si>
    <t>J KORIN</t>
  </si>
  <si>
    <t>KY036394/25</t>
  </si>
  <si>
    <t>KY036537</t>
  </si>
  <si>
    <t>296-B CH</t>
  </si>
  <si>
    <t>KY03696</t>
  </si>
  <si>
    <t>31/11</t>
  </si>
  <si>
    <t>SRY</t>
  </si>
  <si>
    <t>POLYESTER SEQUENCE</t>
  </si>
  <si>
    <t>KY035219</t>
  </si>
  <si>
    <t>KY035721</t>
  </si>
  <si>
    <t>KY036538</t>
  </si>
  <si>
    <t>GODAWARI SILK MILLS PVT LTD</t>
  </si>
  <si>
    <t>Y-22</t>
  </si>
  <si>
    <t>20/1 MONO BRT (S)</t>
  </si>
  <si>
    <t>KY036966</t>
  </si>
  <si>
    <t>KY037657</t>
  </si>
  <si>
    <t>KY038055</t>
  </si>
  <si>
    <t>30/1 MONO BRT</t>
  </si>
  <si>
    <t>AYM</t>
  </si>
  <si>
    <t>KY038614</t>
  </si>
  <si>
    <t>KRISHNA FABRICS</t>
  </si>
  <si>
    <t>HASTI CREATION</t>
  </si>
  <si>
    <t>DURGA</t>
  </si>
  <si>
    <t>Y70</t>
  </si>
  <si>
    <t>KY039356</t>
  </si>
  <si>
    <t>KY040666</t>
  </si>
  <si>
    <t>KY040794</t>
  </si>
  <si>
    <t>KY041614</t>
  </si>
  <si>
    <t>KY041615</t>
  </si>
  <si>
    <t>KY041616</t>
  </si>
  <si>
    <t>MT-20B</t>
  </si>
  <si>
    <t>KY043358</t>
  </si>
  <si>
    <t>KY043359</t>
  </si>
  <si>
    <t>KY043879</t>
  </si>
  <si>
    <t>KY044710</t>
  </si>
  <si>
    <t>KY045000</t>
  </si>
  <si>
    <t>KY045296</t>
  </si>
  <si>
    <t>KY045878</t>
  </si>
  <si>
    <t>KY046959</t>
  </si>
  <si>
    <t>KY047325</t>
  </si>
  <si>
    <t>30/14 SD POLY</t>
  </si>
  <si>
    <t>30/06 BRT POLY</t>
  </si>
  <si>
    <t>110 W2</t>
  </si>
  <si>
    <t>SDBS2002-PQ</t>
  </si>
  <si>
    <t>55/12 SPARKLE SIZE</t>
  </si>
  <si>
    <t>JK-37080</t>
  </si>
  <si>
    <t>B603</t>
  </si>
  <si>
    <t>B604</t>
  </si>
  <si>
    <t>B605</t>
  </si>
  <si>
    <t>B606</t>
  </si>
  <si>
    <t>KY048020</t>
  </si>
  <si>
    <t>KINJAL TEXO FAB</t>
  </si>
  <si>
    <t>Y31</t>
  </si>
  <si>
    <t>Y38</t>
  </si>
  <si>
    <t>KEDARNATH YARN</t>
  </si>
  <si>
    <t>SIDDHI VINAYAK TEXTILES</t>
  </si>
  <si>
    <t>JARI KASAB</t>
  </si>
  <si>
    <t>BHAKTI TEXTILES</t>
  </si>
  <si>
    <t>A150088</t>
  </si>
  <si>
    <t>20/1 SD NYLON MONO</t>
  </si>
  <si>
    <t>G/1911</t>
  </si>
  <si>
    <t>TAKA</t>
  </si>
  <si>
    <t>PARTY</t>
  </si>
  <si>
    <t>QUALITY</t>
  </si>
  <si>
    <t>METER</t>
  </si>
  <si>
    <t>HRK6414</t>
  </si>
  <si>
    <t>20/1 MONO GOLD TEX</t>
  </si>
  <si>
    <t>B648</t>
  </si>
  <si>
    <t>B649</t>
  </si>
  <si>
    <t>B650</t>
  </si>
  <si>
    <t>RRIMO YARN TRADING</t>
  </si>
  <si>
    <t>SDBS2002 PQ</t>
  </si>
  <si>
    <t>T19</t>
  </si>
  <si>
    <t>T25</t>
  </si>
  <si>
    <t>T40</t>
  </si>
  <si>
    <t>G/1995</t>
  </si>
  <si>
    <t>T170</t>
  </si>
  <si>
    <t>JAY BAJRANG FEB</t>
  </si>
  <si>
    <t>G/0241</t>
  </si>
  <si>
    <t>SHRI KALYAN WEAVES</t>
  </si>
  <si>
    <t>Y13</t>
  </si>
  <si>
    <t>G/0244</t>
  </si>
  <si>
    <t xml:space="preserve"> </t>
  </si>
  <si>
    <t>M S D TEXTILE</t>
  </si>
  <si>
    <t>PURE GOLD</t>
  </si>
  <si>
    <t>AARADHYA FABRIC</t>
  </si>
  <si>
    <t>SHREE RAM YARN TRADING CO.</t>
  </si>
  <si>
    <t>BALKRISHNA TEXTILE</t>
  </si>
  <si>
    <t>20/1 MONO BRT TEX</t>
  </si>
  <si>
    <t>H. P. JARI</t>
  </si>
  <si>
    <t>KY000144/26</t>
  </si>
  <si>
    <t>510/26-27</t>
  </si>
  <si>
    <t>518/26-27</t>
  </si>
  <si>
    <t>HRK0207/26-27</t>
  </si>
  <si>
    <t>HPJ/59/26-27</t>
  </si>
  <si>
    <t>HPJ/63/26-27</t>
  </si>
  <si>
    <t>1116/26-27</t>
  </si>
  <si>
    <t>1117/26-27</t>
  </si>
  <si>
    <t>HPJ/67/26-27</t>
  </si>
  <si>
    <t>KY001871/26</t>
  </si>
  <si>
    <t>HPJ/68/26-27</t>
  </si>
  <si>
    <t>KY001913/26</t>
  </si>
  <si>
    <t>1446/26-27</t>
  </si>
  <si>
    <t>Y8</t>
  </si>
  <si>
    <t>Y25</t>
  </si>
  <si>
    <t>Y26</t>
  </si>
  <si>
    <t>1772/26-27</t>
  </si>
  <si>
    <t>Y28</t>
  </si>
  <si>
    <t>167/26-27</t>
  </si>
  <si>
    <t>HPJ/4/26-27</t>
  </si>
  <si>
    <t>HPJ/11/26-27</t>
  </si>
  <si>
    <t>HPJ/18/26-27</t>
  </si>
  <si>
    <t>G/7</t>
  </si>
  <si>
    <t>HPJ/22/26-27</t>
  </si>
  <si>
    <t>KY000919/26</t>
  </si>
  <si>
    <t>HPJ/28/26-27</t>
  </si>
  <si>
    <t>HPJ/31/26-27</t>
  </si>
  <si>
    <t>HPJ/37/26-27</t>
  </si>
  <si>
    <t>HPJ/43/26-27</t>
  </si>
  <si>
    <t>HPJ/47/26-27</t>
  </si>
  <si>
    <t>HPJ/54/26-27</t>
  </si>
  <si>
    <t>HPJ/57/26-27</t>
  </si>
  <si>
    <t>Y24</t>
  </si>
  <si>
    <t>96003234</t>
  </si>
  <si>
    <t>96003487</t>
  </si>
  <si>
    <t>Y-1</t>
  </si>
  <si>
    <t>SHREE RADHE KRISHNA TEXTILES</t>
  </si>
  <si>
    <t>T45</t>
  </si>
  <si>
    <t>G/0231</t>
  </si>
  <si>
    <t>CQ0045</t>
  </si>
  <si>
    <t>CQ0044</t>
  </si>
  <si>
    <t>IMPS</t>
  </si>
  <si>
    <t>T216</t>
  </si>
  <si>
    <t>HRK7064/25-26</t>
  </si>
  <si>
    <t>AMT-TDS</t>
  </si>
  <si>
    <t>Mahant Texo Fab</t>
  </si>
  <si>
    <t>20/1 SD NYLON BEAM</t>
  </si>
  <si>
    <t>Y7</t>
  </si>
  <si>
    <t>B-10</t>
  </si>
  <si>
    <t>KY004125/26</t>
  </si>
  <si>
    <t>KY004126/26</t>
  </si>
  <si>
    <t>KY004127/26</t>
  </si>
  <si>
    <t>KY004304/26</t>
  </si>
  <si>
    <t>KY004305/26</t>
  </si>
  <si>
    <t>t</t>
  </si>
  <si>
    <t>B-11</t>
  </si>
  <si>
    <t>KY004123/26</t>
  </si>
  <si>
    <t>KY004124/26</t>
  </si>
  <si>
    <t>KY004299/26</t>
  </si>
  <si>
    <t>KY004303/26</t>
  </si>
  <si>
    <t>G/0015/26-27</t>
  </si>
  <si>
    <t>2026-27/AI/64</t>
  </si>
  <si>
    <t>96005947</t>
  </si>
  <si>
    <t>2026-27/AI/78</t>
  </si>
  <si>
    <t>KY006493/26</t>
  </si>
  <si>
    <t>KY006929/26</t>
  </si>
  <si>
    <t>3567/26-27</t>
  </si>
  <si>
    <t>3581/26-27</t>
  </si>
  <si>
    <t>Jay Bajrang Feb</t>
  </si>
  <si>
    <t>Aaditya Impex</t>
  </si>
  <si>
    <t>SILVER</t>
  </si>
  <si>
    <t>KY005442/26</t>
  </si>
  <si>
    <t>G/0018/26-27</t>
  </si>
  <si>
    <t>KY006492/26</t>
  </si>
  <si>
    <t>35</t>
  </si>
  <si>
    <t>36</t>
  </si>
  <si>
    <t>37</t>
  </si>
  <si>
    <t>ky006930</t>
  </si>
  <si>
    <t>3582/26-27</t>
  </si>
  <si>
    <t>SHREE RAM YARN</t>
  </si>
  <si>
    <t>KASAB IMITATION ZARI</t>
  </si>
  <si>
    <t>BILL TAKEN</t>
  </si>
  <si>
    <t>SUFI (GOLD)</t>
  </si>
  <si>
    <t>SUFI (SILVER)</t>
  </si>
  <si>
    <t>JOB1</t>
  </si>
  <si>
    <t>JOB2</t>
  </si>
  <si>
    <t>JOB3</t>
  </si>
  <si>
    <t>JOB4</t>
  </si>
  <si>
    <t>JOB5</t>
  </si>
  <si>
    <t>JOB6</t>
  </si>
  <si>
    <t>JOB7</t>
  </si>
  <si>
    <t>JOB8</t>
  </si>
  <si>
    <t>JOB9</t>
  </si>
  <si>
    <t>JOB10</t>
  </si>
  <si>
    <t>JOB11</t>
  </si>
  <si>
    <t>JOB12</t>
  </si>
  <si>
    <t>JOB13</t>
  </si>
  <si>
    <t>JOB14</t>
  </si>
  <si>
    <t>JOB15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</si>
</sst>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dd\/mm\/yyyy;@"/>
    <numFmt numFmtId="166" formatCode="0.0000"/>
  </numFmts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9">
    <xf numFmtId="0" fontId="0" fillId="0" borderId="0" xfId="0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/>
    <xf numFmtId="0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1" fillId="2" borderId="5" xfId="1" applyNumberFormat="1" applyBorder="1" applyAlignment="1">
      <alignment horizontal="center" vertical="center"/>
    </xf>
    <xf numFmtId="1" fontId="3" fillId="4" borderId="6" xfId="3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2" fillId="3" borderId="4" xfId="2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2" fontId="0" fillId="0" borderId="0" xfId="0" applyNumberFormat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7" fillId="0" borderId="14" xfId="0" applyFont="1" applyBorder="1"/>
    <xf numFmtId="0" fontId="6" fillId="0" borderId="0" xfId="0" applyFont="1"/>
    <xf numFmtId="0" fontId="8" fillId="0" borderId="0" xfId="0" applyFont="1"/>
    <xf numFmtId="2" fontId="0" fillId="0" borderId="15" xfId="0" applyNumberFormat="1" applyBorder="1"/>
    <xf numFmtId="1" fontId="0" fillId="0" borderId="0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0" fontId="0" fillId="0" borderId="16" xfId="0" applyBorder="1"/>
    <xf numFmtId="0" fontId="0" fillId="0" borderId="0" xfId="0" applyBorder="1"/>
    <xf numFmtId="164" fontId="0" fillId="0" borderId="1" xfId="0" applyNumberFormat="1" applyBorder="1" applyAlignment="1">
      <alignment horizontal="center"/>
    </xf>
    <xf numFmtId="1" fontId="2" fillId="3" borderId="7" xfId="2" applyNumberFormat="1" applyBorder="1" applyAlignment="1">
      <alignment horizontal="center" vertical="center"/>
    </xf>
    <xf numFmtId="1" fontId="1" fillId="2" borderId="11" xfId="1" applyNumberFormat="1" applyBorder="1" applyAlignment="1">
      <alignment horizontal="center" vertical="center"/>
    </xf>
    <xf numFmtId="1" fontId="3" fillId="4" borderId="12" xfId="3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" fontId="3" fillId="4" borderId="8" xfId="3" applyNumberFormat="1" applyBorder="1" applyAlignment="1">
      <alignment horizontal="center"/>
    </xf>
    <xf numFmtId="1" fontId="1" fillId="2" borderId="7" xfId="1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" fontId="1" fillId="2" borderId="19" xfId="1" applyNumberFormat="1" applyBorder="1" applyAlignment="1">
      <alignment horizontal="center" vertical="center"/>
    </xf>
    <xf numFmtId="1" fontId="3" fillId="4" borderId="17" xfId="3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right"/>
    </xf>
    <xf numFmtId="0" fontId="0" fillId="0" borderId="0" xfId="0" applyFill="1" applyBorder="1"/>
    <xf numFmtId="1" fontId="3" fillId="4" borderId="0" xfId="3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4" fontId="1" fillId="2" borderId="0" xfId="1" applyNumberForma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165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vertical="center"/>
    </xf>
    <xf numFmtId="164" fontId="0" fillId="0" borderId="0" xfId="0" applyNumberFormat="1" applyFont="1" applyAlignment="1">
      <alignment horizontal="right" vertical="center"/>
    </xf>
    <xf numFmtId="2" fontId="0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vertical="center"/>
    </xf>
    <xf numFmtId="2" fontId="0" fillId="0" borderId="16" xfId="0" applyNumberFormat="1" applyBorder="1"/>
    <xf numFmtId="1" fontId="1" fillId="2" borderId="5" xfId="1" applyNumberFormat="1" applyBorder="1" applyAlignment="1">
      <alignment horizontal="center"/>
    </xf>
    <xf numFmtId="1" fontId="1" fillId="2" borderId="5" xfId="1" applyNumberFormat="1" applyBorder="1" applyAlignment="1" applyProtection="1">
      <alignment horizontal="center"/>
    </xf>
    <xf numFmtId="14" fontId="0" fillId="0" borderId="0" xfId="0" applyNumberFormat="1"/>
    <xf numFmtId="1" fontId="1" fillId="2" borderId="0" xfId="1" applyNumberFormat="1"/>
    <xf numFmtId="166" fontId="0" fillId="0" borderId="0" xfId="0" applyNumberFormat="1" applyFont="1" applyAlignment="1">
      <alignment horizontal="right" vertical="center"/>
    </xf>
    <xf numFmtId="2" fontId="0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5" xfId="0" applyFont="1" applyBorder="1" applyAlignment="1">
      <alignment horizontal="center"/>
    </xf>
    <xf numFmtId="1" fontId="0" fillId="0" borderId="0" xfId="0" applyNumberFormat="1" applyFont="1" applyAlignment="1">
      <alignment horizontal="right" vertical="center"/>
    </xf>
    <xf numFmtId="1" fontId="0" fillId="0" borderId="0" xfId="0" applyNumberFormat="1" applyFont="1" applyAlignment="1">
      <alignment horizontal="center" vertical="center"/>
    </xf>
    <xf numFmtId="0" fontId="0" fillId="0" borderId="21" xfId="0" applyFont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14" fontId="0" fillId="0" borderId="6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164" fontId="1" fillId="2" borderId="0" xfId="1" applyNumberFormat="1" applyAlignment="1">
      <alignment horizontal="right" vertic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H254"/>
  <sheetViews>
    <sheetView tabSelected="1" topLeftCell="A67" zoomScale="85" zoomScaleNormal="85" workbookViewId="0">
      <selection activeCell="Q186" sqref="Q186:Q222"/>
    </sheetView>
  </sheetViews>
  <sheetFormatPr defaultColWidth="8.85546875" defaultRowHeight="15"/>
  <cols>
    <col min="1" max="1" width="4.140625" customWidth="1"/>
    <col min="2" max="2" width="8.140625" customWidth="1"/>
    <col min="3" max="3" width="12.28515625" customWidth="1"/>
    <col min="4" max="4" width="16.5703125" customWidth="1"/>
    <col min="5" max="5" width="31.28515625" bestFit="1" customWidth="1"/>
    <col min="6" max="6" width="17.7109375" bestFit="1" customWidth="1"/>
    <col min="7" max="7" width="26.7109375" bestFit="1" customWidth="1"/>
    <col min="8" max="8" width="14.5703125" style="77" bestFit="1" customWidth="1"/>
    <col min="9" max="9" width="7.7109375" customWidth="1"/>
    <col min="10" max="10" width="11.7109375" bestFit="1" customWidth="1"/>
    <col min="11" max="11" width="9.7109375" bestFit="1" customWidth="1"/>
    <col min="12" max="12" width="13.5703125" bestFit="1" customWidth="1"/>
    <col min="13" max="13" width="10.85546875" customWidth="1"/>
    <col min="14" max="14" width="9.7109375" bestFit="1" customWidth="1"/>
    <col min="15" max="15" width="2.7109375" customWidth="1"/>
    <col min="16" max="16" width="13" customWidth="1"/>
    <col min="17" max="17" width="25.7109375" bestFit="1" customWidth="1"/>
    <col min="18" max="18" width="13.5703125" bestFit="1" customWidth="1"/>
    <col min="19" max="19" width="12.28515625" bestFit="1" customWidth="1"/>
    <col min="20" max="20" width="10.7109375" bestFit="1" customWidth="1"/>
    <col min="21" max="22" width="10.5703125" bestFit="1" customWidth="1"/>
    <col min="23" max="23" width="15.7109375" bestFit="1" customWidth="1"/>
    <col min="25" max="25" width="8.140625" customWidth="1"/>
    <col min="26" max="26" width="12.28515625" customWidth="1"/>
    <col min="27" max="27" width="16.5703125" customWidth="1"/>
    <col min="28" max="28" width="26.7109375" bestFit="1" customWidth="1"/>
    <col min="29" max="29" width="14.5703125" bestFit="1" customWidth="1"/>
    <col min="30" max="30" width="7.7109375" customWidth="1"/>
    <col min="31" max="31" width="9.7109375" bestFit="1" customWidth="1"/>
    <col min="32" max="32" width="10.85546875" customWidth="1"/>
    <col min="33" max="33" width="2.7109375" customWidth="1"/>
    <col min="34" max="34" width="11.7109375" bestFit="1" customWidth="1"/>
  </cols>
  <sheetData>
    <row r="1" spans="1:34" ht="15.75" thickBot="1"/>
    <row r="2" spans="1:34" ht="15.75" thickBot="1">
      <c r="B2" s="147" t="s">
        <v>40</v>
      </c>
      <c r="C2" s="147"/>
      <c r="D2" s="9" t="s">
        <v>2</v>
      </c>
      <c r="E2" s="10" t="s">
        <v>3</v>
      </c>
      <c r="F2" s="10" t="s">
        <v>4</v>
      </c>
      <c r="G2" s="10" t="s">
        <v>5</v>
      </c>
      <c r="H2" s="11" t="s">
        <v>6</v>
      </c>
      <c r="I2" s="12" t="s">
        <v>7</v>
      </c>
      <c r="J2" s="12" t="s">
        <v>112</v>
      </c>
      <c r="K2" s="12" t="s">
        <v>8</v>
      </c>
      <c r="L2" s="9" t="s">
        <v>9</v>
      </c>
      <c r="M2" s="13" t="s">
        <v>10</v>
      </c>
      <c r="N2" s="14" t="s">
        <v>11</v>
      </c>
      <c r="O2" s="15"/>
      <c r="P2" s="16" t="s">
        <v>12</v>
      </c>
      <c r="Q2" s="15" t="s">
        <v>13</v>
      </c>
      <c r="R2" s="15" t="s">
        <v>118</v>
      </c>
      <c r="S2" s="10" t="s">
        <v>15</v>
      </c>
      <c r="T2" s="15" t="s">
        <v>16</v>
      </c>
      <c r="U2" s="10"/>
      <c r="V2" s="10" t="s">
        <v>17</v>
      </c>
      <c r="W2" s="17" t="s">
        <v>18</v>
      </c>
      <c r="Y2" s="147" t="s">
        <v>39</v>
      </c>
      <c r="Z2" s="147"/>
    </row>
    <row r="3" spans="1:34" ht="15.75" hidden="1" thickBot="1">
      <c r="A3" t="s">
        <v>113</v>
      </c>
      <c r="B3" s="148" t="s">
        <v>33</v>
      </c>
      <c r="C3" s="148"/>
      <c r="D3" s="1"/>
      <c r="E3" s="2"/>
      <c r="F3" s="2"/>
      <c r="G3" s="2" t="s">
        <v>208</v>
      </c>
      <c r="H3" s="3"/>
      <c r="I3" s="4"/>
      <c r="J3" s="4"/>
      <c r="K3" s="4"/>
      <c r="L3" s="1"/>
      <c r="M3" s="5"/>
      <c r="N3" s="6"/>
      <c r="O3" s="2"/>
      <c r="P3" s="7"/>
      <c r="Q3" s="2"/>
      <c r="R3" s="2"/>
      <c r="S3" s="2"/>
      <c r="T3" s="2"/>
      <c r="U3" s="2"/>
      <c r="V3" s="2"/>
      <c r="W3" s="1"/>
      <c r="Y3" s="148" t="s">
        <v>33</v>
      </c>
      <c r="Z3" s="148"/>
      <c r="AA3" s="1"/>
      <c r="AB3" s="2"/>
      <c r="AC3" s="3"/>
      <c r="AD3" s="4"/>
      <c r="AE3" s="4"/>
      <c r="AF3" s="5"/>
      <c r="AG3" s="2"/>
      <c r="AH3" s="1"/>
    </row>
    <row r="4" spans="1:34" ht="15.75" hidden="1" thickBot="1">
      <c r="A4" t="s">
        <v>113</v>
      </c>
      <c r="B4" s="8" t="s">
        <v>0</v>
      </c>
      <c r="C4" s="9" t="s">
        <v>1</v>
      </c>
      <c r="D4" s="9" t="s">
        <v>2</v>
      </c>
      <c r="E4" s="10" t="s">
        <v>3</v>
      </c>
      <c r="F4" s="10" t="s">
        <v>4</v>
      </c>
      <c r="G4" s="10" t="s">
        <v>5</v>
      </c>
      <c r="H4" s="11" t="s">
        <v>6</v>
      </c>
      <c r="I4" s="12" t="s">
        <v>7</v>
      </c>
      <c r="J4" s="12" t="s">
        <v>112</v>
      </c>
      <c r="K4" s="12" t="s">
        <v>8</v>
      </c>
      <c r="L4" s="9" t="s">
        <v>9</v>
      </c>
      <c r="M4" s="13" t="s">
        <v>10</v>
      </c>
      <c r="N4" s="14" t="s">
        <v>11</v>
      </c>
      <c r="O4" s="15"/>
      <c r="P4" s="16" t="s">
        <v>12</v>
      </c>
      <c r="Q4" s="15" t="s">
        <v>13</v>
      </c>
      <c r="R4" s="15" t="s">
        <v>14</v>
      </c>
      <c r="S4" s="10" t="s">
        <v>15</v>
      </c>
      <c r="T4" s="15" t="s">
        <v>16</v>
      </c>
      <c r="U4" s="10"/>
      <c r="V4" s="10" t="s">
        <v>17</v>
      </c>
      <c r="W4" s="17" t="s">
        <v>18</v>
      </c>
      <c r="Y4" s="8" t="s">
        <v>0</v>
      </c>
      <c r="Z4" s="9" t="s">
        <v>1</v>
      </c>
      <c r="AA4" s="9" t="s">
        <v>2</v>
      </c>
      <c r="AB4" s="10" t="s">
        <v>5</v>
      </c>
      <c r="AC4" s="11" t="s">
        <v>6</v>
      </c>
      <c r="AD4" s="12" t="s">
        <v>7</v>
      </c>
      <c r="AE4" s="12" t="s">
        <v>8</v>
      </c>
      <c r="AF4" s="13" t="s">
        <v>10</v>
      </c>
      <c r="AG4" s="15"/>
      <c r="AH4" s="17" t="s">
        <v>18</v>
      </c>
    </row>
    <row r="5" spans="1:34" hidden="1">
      <c r="A5" t="s">
        <v>113</v>
      </c>
      <c r="B5" s="18">
        <v>1</v>
      </c>
      <c r="C5" s="1">
        <v>45816</v>
      </c>
      <c r="D5" s="1">
        <v>45815</v>
      </c>
      <c r="E5" s="19" t="s">
        <v>19</v>
      </c>
      <c r="F5" s="19">
        <v>5148</v>
      </c>
      <c r="G5" s="2" t="s">
        <v>20</v>
      </c>
      <c r="H5" s="20">
        <v>772.76</v>
      </c>
      <c r="I5" s="4">
        <v>166.3</v>
      </c>
      <c r="J5" s="4">
        <f>H5*I5</f>
        <v>128509.98800000001</v>
      </c>
      <c r="K5" s="4">
        <f t="shared" ref="K5:K40" si="0">I5*1.12</f>
        <v>186.25600000000003</v>
      </c>
      <c r="L5" s="1">
        <f t="shared" ref="L5:L34" si="1">D5+15</f>
        <v>45830</v>
      </c>
      <c r="M5" s="21">
        <f t="shared" ref="M5:M53" si="2">H5*K5</f>
        <v>143931.18656000003</v>
      </c>
      <c r="N5" s="22" t="s">
        <v>98</v>
      </c>
      <c r="O5" s="2"/>
      <c r="P5" s="7">
        <f>DAYS360(L5,W5)-(1)</f>
        <v>53</v>
      </c>
      <c r="Q5" s="66">
        <f t="shared" ref="Q5:Q12" si="3">0.18*P5*M5/365</f>
        <v>3761.9274514586309</v>
      </c>
      <c r="R5" s="2"/>
      <c r="S5" s="2">
        <v>6649</v>
      </c>
      <c r="T5" s="2"/>
      <c r="U5" s="2" t="s">
        <v>107</v>
      </c>
      <c r="V5" s="1">
        <v>45946</v>
      </c>
      <c r="W5" s="23">
        <v>45885</v>
      </c>
      <c r="Y5" s="18">
        <v>1</v>
      </c>
      <c r="Z5" s="1"/>
      <c r="AA5" s="1"/>
      <c r="AB5" s="2"/>
      <c r="AC5" s="20"/>
      <c r="AD5" s="4"/>
      <c r="AE5" s="4"/>
      <c r="AF5" s="21"/>
      <c r="AG5" s="2"/>
      <c r="AH5" s="23"/>
    </row>
    <row r="6" spans="1:34" hidden="1">
      <c r="A6" t="s">
        <v>113</v>
      </c>
      <c r="B6" s="18">
        <v>2</v>
      </c>
      <c r="C6" s="1">
        <v>45816</v>
      </c>
      <c r="D6" s="1">
        <v>45815</v>
      </c>
      <c r="E6" s="19" t="s">
        <v>19</v>
      </c>
      <c r="F6" s="19">
        <v>5148</v>
      </c>
      <c r="G6" s="2" t="s">
        <v>20</v>
      </c>
      <c r="H6" s="20">
        <v>385.68</v>
      </c>
      <c r="I6" s="4">
        <v>166.3</v>
      </c>
      <c r="J6" s="4">
        <f>H6*I6</f>
        <v>64138.584000000003</v>
      </c>
      <c r="K6" s="4">
        <f t="shared" si="0"/>
        <v>186.25600000000003</v>
      </c>
      <c r="L6" s="1">
        <f t="shared" si="1"/>
        <v>45830</v>
      </c>
      <c r="M6" s="21">
        <f t="shared" si="2"/>
        <v>71835.214080000005</v>
      </c>
      <c r="N6" s="22" t="s">
        <v>98</v>
      </c>
      <c r="O6" s="2"/>
      <c r="P6" s="7">
        <f t="shared" ref="P6:P12" si="4">DAYS360(L6,W6)-(1)</f>
        <v>53</v>
      </c>
      <c r="Q6" s="66">
        <f t="shared" si="3"/>
        <v>1877.5560063649314</v>
      </c>
      <c r="R6" s="2"/>
      <c r="S6" s="2">
        <v>6650</v>
      </c>
      <c r="T6" s="2"/>
      <c r="U6" s="2" t="s">
        <v>107</v>
      </c>
      <c r="V6" s="1">
        <v>45946</v>
      </c>
      <c r="W6" s="23">
        <v>45885</v>
      </c>
      <c r="Y6" s="18">
        <v>2</v>
      </c>
      <c r="Z6" s="1"/>
      <c r="AA6" s="1"/>
      <c r="AB6" s="2"/>
      <c r="AC6" s="20"/>
      <c r="AD6" s="4"/>
      <c r="AE6" s="4"/>
      <c r="AF6" s="24"/>
      <c r="AG6" s="2"/>
      <c r="AH6" s="23"/>
    </row>
    <row r="7" spans="1:34" hidden="1">
      <c r="A7" t="s">
        <v>113</v>
      </c>
      <c r="B7" s="18">
        <v>3</v>
      </c>
      <c r="C7" s="1">
        <v>45819</v>
      </c>
      <c r="D7" s="1">
        <v>45818</v>
      </c>
      <c r="E7" s="19" t="s">
        <v>19</v>
      </c>
      <c r="F7" s="19">
        <v>5148</v>
      </c>
      <c r="G7" s="2" t="s">
        <v>20</v>
      </c>
      <c r="H7" s="3">
        <v>771.24</v>
      </c>
      <c r="I7" s="4">
        <v>166.3</v>
      </c>
      <c r="J7" s="4">
        <f t="shared" ref="J7:J53" si="5">H7*I7</f>
        <v>128257.21200000001</v>
      </c>
      <c r="K7" s="4">
        <f t="shared" si="0"/>
        <v>186.25600000000003</v>
      </c>
      <c r="L7" s="1">
        <f t="shared" si="1"/>
        <v>45833</v>
      </c>
      <c r="M7" s="21">
        <f t="shared" si="2"/>
        <v>143648.07744000002</v>
      </c>
      <c r="N7" s="22" t="s">
        <v>98</v>
      </c>
      <c r="O7" s="2"/>
      <c r="P7" s="7">
        <f t="shared" si="4"/>
        <v>50</v>
      </c>
      <c r="Q7" s="66">
        <f t="shared" si="3"/>
        <v>3542.0073889315076</v>
      </c>
      <c r="R7" s="2"/>
      <c r="S7" s="2">
        <v>6909</v>
      </c>
      <c r="T7" s="2"/>
      <c r="U7" s="2" t="s">
        <v>107</v>
      </c>
      <c r="V7" s="1">
        <v>45946</v>
      </c>
      <c r="W7" s="23">
        <v>45885</v>
      </c>
      <c r="Y7" s="18">
        <v>3</v>
      </c>
      <c r="Z7" s="1"/>
      <c r="AA7" s="1"/>
      <c r="AB7" s="2"/>
      <c r="AC7" s="3"/>
      <c r="AD7" s="4"/>
      <c r="AE7" s="4"/>
      <c r="AF7" s="24"/>
      <c r="AG7" s="2"/>
      <c r="AH7" s="23"/>
    </row>
    <row r="8" spans="1:34" hidden="1">
      <c r="A8" t="s">
        <v>113</v>
      </c>
      <c r="B8" s="18">
        <v>4</v>
      </c>
      <c r="C8" s="1">
        <v>45819</v>
      </c>
      <c r="D8" s="1">
        <v>45818</v>
      </c>
      <c r="E8" s="19" t="s">
        <v>19</v>
      </c>
      <c r="F8" s="19">
        <v>5148</v>
      </c>
      <c r="G8" s="2" t="s">
        <v>20</v>
      </c>
      <c r="H8" s="3">
        <v>386.24</v>
      </c>
      <c r="I8" s="4">
        <v>166.3</v>
      </c>
      <c r="J8" s="4">
        <f t="shared" si="5"/>
        <v>64231.712000000007</v>
      </c>
      <c r="K8" s="4">
        <f t="shared" si="0"/>
        <v>186.25600000000003</v>
      </c>
      <c r="L8" s="1">
        <f t="shared" si="1"/>
        <v>45833</v>
      </c>
      <c r="M8" s="21">
        <f t="shared" si="2"/>
        <v>71939.517440000011</v>
      </c>
      <c r="N8" s="22" t="s">
        <v>98</v>
      </c>
      <c r="O8" s="2"/>
      <c r="P8" s="7">
        <f t="shared" si="4"/>
        <v>50</v>
      </c>
      <c r="Q8" s="66">
        <f t="shared" si="3"/>
        <v>1773.8511149589042</v>
      </c>
      <c r="R8" s="2"/>
      <c r="S8" s="2">
        <v>6910</v>
      </c>
      <c r="T8" s="2"/>
      <c r="U8" s="2" t="s">
        <v>107</v>
      </c>
      <c r="V8" s="1">
        <v>45946</v>
      </c>
      <c r="W8" s="23">
        <v>45885</v>
      </c>
      <c r="Y8" s="18">
        <v>4</v>
      </c>
      <c r="Z8" s="1"/>
      <c r="AA8" s="1"/>
      <c r="AB8" s="2"/>
      <c r="AC8" s="3"/>
      <c r="AD8" s="4"/>
      <c r="AE8" s="4"/>
      <c r="AF8" s="24"/>
      <c r="AG8" s="2"/>
      <c r="AH8" s="23"/>
    </row>
    <row r="9" spans="1:34" hidden="1">
      <c r="A9" t="s">
        <v>113</v>
      </c>
      <c r="B9" s="18">
        <v>5</v>
      </c>
      <c r="C9" s="1">
        <v>45826</v>
      </c>
      <c r="D9" s="1">
        <v>45824</v>
      </c>
      <c r="E9" s="19" t="s">
        <v>19</v>
      </c>
      <c r="F9" s="19">
        <v>5148</v>
      </c>
      <c r="G9" s="2" t="s">
        <v>20</v>
      </c>
      <c r="H9" s="3">
        <v>774.28</v>
      </c>
      <c r="I9" s="4">
        <v>182.2</v>
      </c>
      <c r="J9" s="4">
        <f t="shared" si="5"/>
        <v>141073.81599999999</v>
      </c>
      <c r="K9" s="4">
        <f t="shared" si="0"/>
        <v>204.06399999999999</v>
      </c>
      <c r="L9" s="1">
        <f t="shared" si="1"/>
        <v>45839</v>
      </c>
      <c r="M9" s="21">
        <f t="shared" si="2"/>
        <v>158002.67392</v>
      </c>
      <c r="N9" s="22" t="s">
        <v>98</v>
      </c>
      <c r="O9" s="2"/>
      <c r="P9" s="7">
        <f t="shared" si="4"/>
        <v>44</v>
      </c>
      <c r="Q9" s="66">
        <f t="shared" si="3"/>
        <v>3428.4415820449317</v>
      </c>
      <c r="R9" s="2"/>
      <c r="S9" s="2">
        <v>7519</v>
      </c>
      <c r="T9" s="2"/>
      <c r="U9" s="2" t="s">
        <v>107</v>
      </c>
      <c r="V9" s="1">
        <v>45946</v>
      </c>
      <c r="W9" s="23">
        <v>45885</v>
      </c>
      <c r="Y9" s="18">
        <v>5</v>
      </c>
      <c r="Z9" s="1"/>
      <c r="AA9" s="1"/>
      <c r="AB9" s="2"/>
      <c r="AC9" s="3"/>
      <c r="AD9" s="4"/>
      <c r="AE9" s="4"/>
      <c r="AF9" s="24"/>
      <c r="AG9" s="2"/>
      <c r="AH9" s="23"/>
    </row>
    <row r="10" spans="1:34" hidden="1">
      <c r="A10" t="s">
        <v>113</v>
      </c>
      <c r="B10" s="18">
        <v>6</v>
      </c>
      <c r="C10" s="1">
        <v>45826</v>
      </c>
      <c r="D10" s="1">
        <v>45824</v>
      </c>
      <c r="E10" s="19" t="s">
        <v>19</v>
      </c>
      <c r="F10" s="19">
        <v>5148</v>
      </c>
      <c r="G10" s="2" t="s">
        <v>20</v>
      </c>
      <c r="H10" s="3">
        <v>729.47</v>
      </c>
      <c r="I10" s="4">
        <v>182.2</v>
      </c>
      <c r="J10" s="4">
        <f t="shared" si="5"/>
        <v>132909.43400000001</v>
      </c>
      <c r="K10" s="4">
        <f t="shared" si="0"/>
        <v>204.06399999999999</v>
      </c>
      <c r="L10" s="1">
        <f t="shared" si="1"/>
        <v>45839</v>
      </c>
      <c r="M10" s="21">
        <f t="shared" si="2"/>
        <v>148858.56607999999</v>
      </c>
      <c r="N10" s="22" t="s">
        <v>98</v>
      </c>
      <c r="O10" s="2"/>
      <c r="P10" s="7">
        <f t="shared" si="4"/>
        <v>44</v>
      </c>
      <c r="Q10" s="66">
        <f t="shared" si="3"/>
        <v>3230.0269680920546</v>
      </c>
      <c r="R10" s="2"/>
      <c r="S10" s="2">
        <v>7521</v>
      </c>
      <c r="T10" s="2"/>
      <c r="U10" s="2" t="s">
        <v>107</v>
      </c>
      <c r="V10" s="1">
        <v>45946</v>
      </c>
      <c r="W10" s="23">
        <v>45885</v>
      </c>
      <c r="Y10" s="18">
        <v>6</v>
      </c>
      <c r="Z10" s="1"/>
      <c r="AA10" s="1"/>
      <c r="AB10" s="2"/>
      <c r="AC10" s="3"/>
      <c r="AD10" s="4"/>
      <c r="AE10" s="4"/>
      <c r="AF10" s="24"/>
      <c r="AG10" s="2"/>
      <c r="AH10" s="23"/>
    </row>
    <row r="11" spans="1:34" hidden="1">
      <c r="A11" t="s">
        <v>113</v>
      </c>
      <c r="B11" s="18">
        <v>7</v>
      </c>
      <c r="C11" s="1">
        <v>45828</v>
      </c>
      <c r="D11" s="1">
        <v>45827</v>
      </c>
      <c r="E11" s="19" t="s">
        <v>19</v>
      </c>
      <c r="F11" s="19">
        <v>5148</v>
      </c>
      <c r="G11" s="2" t="s">
        <v>20</v>
      </c>
      <c r="H11" s="3">
        <v>771.51</v>
      </c>
      <c r="I11" s="4">
        <v>182.2</v>
      </c>
      <c r="J11" s="4">
        <f t="shared" si="5"/>
        <v>140569.122</v>
      </c>
      <c r="K11" s="4">
        <f t="shared" si="0"/>
        <v>204.06399999999999</v>
      </c>
      <c r="L11" s="1">
        <f t="shared" si="1"/>
        <v>45842</v>
      </c>
      <c r="M11" s="21">
        <f t="shared" si="2"/>
        <v>157437.41663999998</v>
      </c>
      <c r="N11" s="22" t="s">
        <v>98</v>
      </c>
      <c r="O11" s="2"/>
      <c r="P11" s="7">
        <f t="shared" si="4"/>
        <v>41</v>
      </c>
      <c r="Q11" s="66">
        <f t="shared" si="3"/>
        <v>3183.2551638443833</v>
      </c>
      <c r="R11" s="2"/>
      <c r="S11" s="2">
        <v>7907</v>
      </c>
      <c r="T11" s="2"/>
      <c r="U11" s="2" t="s">
        <v>107</v>
      </c>
      <c r="V11" s="1">
        <v>45946</v>
      </c>
      <c r="W11" s="23">
        <v>45885</v>
      </c>
      <c r="Y11" s="18">
        <v>7</v>
      </c>
      <c r="Z11" s="1"/>
      <c r="AA11" s="1"/>
      <c r="AB11" s="2"/>
      <c r="AC11" s="3"/>
      <c r="AD11" s="4"/>
      <c r="AE11" s="4"/>
      <c r="AF11" s="24"/>
      <c r="AG11" s="2"/>
      <c r="AH11" s="23"/>
    </row>
    <row r="12" spans="1:34" hidden="1">
      <c r="A12" t="s">
        <v>113</v>
      </c>
      <c r="B12" s="18">
        <v>8</v>
      </c>
      <c r="C12" s="1">
        <v>45828</v>
      </c>
      <c r="D12" s="1">
        <v>45827</v>
      </c>
      <c r="E12" s="19" t="s">
        <v>19</v>
      </c>
      <c r="F12" s="19">
        <v>5148</v>
      </c>
      <c r="G12" s="2" t="s">
        <v>20</v>
      </c>
      <c r="H12" s="3">
        <v>771.47</v>
      </c>
      <c r="I12" s="4">
        <v>182.2</v>
      </c>
      <c r="J12" s="4">
        <f t="shared" si="5"/>
        <v>140561.834</v>
      </c>
      <c r="K12" s="4">
        <f t="shared" si="0"/>
        <v>204.06399999999999</v>
      </c>
      <c r="L12" s="1">
        <f t="shared" si="1"/>
        <v>45842</v>
      </c>
      <c r="M12" s="21">
        <f t="shared" si="2"/>
        <v>157429.25408000001</v>
      </c>
      <c r="N12" s="22" t="s">
        <v>98</v>
      </c>
      <c r="O12" s="2"/>
      <c r="P12" s="7">
        <f t="shared" si="4"/>
        <v>41</v>
      </c>
      <c r="Q12" s="66">
        <f t="shared" si="3"/>
        <v>3183.0901235901374</v>
      </c>
      <c r="R12" s="2"/>
      <c r="S12" s="2">
        <v>7908</v>
      </c>
      <c r="T12" s="2"/>
      <c r="U12" s="2" t="s">
        <v>107</v>
      </c>
      <c r="V12" s="1">
        <v>45946</v>
      </c>
      <c r="W12" s="23">
        <v>45885</v>
      </c>
      <c r="Y12" s="18">
        <v>8</v>
      </c>
      <c r="Z12" s="1"/>
      <c r="AA12" s="1"/>
      <c r="AB12" s="2"/>
      <c r="AC12" s="3"/>
      <c r="AD12" s="4"/>
      <c r="AE12" s="4"/>
      <c r="AF12" s="24"/>
      <c r="AG12" s="2"/>
      <c r="AH12" s="23"/>
    </row>
    <row r="13" spans="1:34" hidden="1">
      <c r="A13" t="s">
        <v>113</v>
      </c>
      <c r="B13" s="18">
        <v>9</v>
      </c>
      <c r="C13" s="1">
        <v>45833</v>
      </c>
      <c r="D13" s="1">
        <v>45833</v>
      </c>
      <c r="E13" s="19" t="s">
        <v>21</v>
      </c>
      <c r="F13" s="19"/>
      <c r="G13" s="2" t="s">
        <v>22</v>
      </c>
      <c r="H13" s="3">
        <v>341.6</v>
      </c>
      <c r="I13" s="4">
        <v>375.34699999999998</v>
      </c>
      <c r="J13" s="4">
        <f t="shared" si="5"/>
        <v>128218.5352</v>
      </c>
      <c r="K13" s="4">
        <f t="shared" si="0"/>
        <v>420.38864000000001</v>
      </c>
      <c r="L13" s="1">
        <f>D13+17</f>
        <v>45850</v>
      </c>
      <c r="M13" s="21">
        <f t="shared" si="2"/>
        <v>143604.75942400002</v>
      </c>
      <c r="N13" s="22" t="s">
        <v>97</v>
      </c>
      <c r="O13" s="2"/>
      <c r="P13" s="7">
        <f>DAYS360(L13,W13)-(1)</f>
        <v>31</v>
      </c>
      <c r="Q13" s="66">
        <f t="shared" ref="Q13:Q15" si="6">0.18*P13*M13/365</f>
        <v>2195.3823495504662</v>
      </c>
      <c r="R13" s="2">
        <v>2297</v>
      </c>
      <c r="S13" s="2" t="s">
        <v>23</v>
      </c>
      <c r="T13" s="2"/>
      <c r="U13" s="2" t="s">
        <v>107</v>
      </c>
      <c r="V13" s="7">
        <f>DAYS360(D13,W13)-(1)</f>
        <v>48</v>
      </c>
      <c r="W13" s="23">
        <v>45883</v>
      </c>
      <c r="Y13" s="18">
        <v>9</v>
      </c>
      <c r="Z13" s="1"/>
      <c r="AA13" s="1"/>
      <c r="AB13" s="2"/>
      <c r="AC13" s="3"/>
      <c r="AD13" s="4"/>
      <c r="AE13" s="4"/>
      <c r="AF13" s="24"/>
      <c r="AG13" s="2"/>
      <c r="AH13" s="23"/>
    </row>
    <row r="14" spans="1:34" hidden="1">
      <c r="A14" t="s">
        <v>113</v>
      </c>
      <c r="B14" s="18">
        <v>10</v>
      </c>
      <c r="C14" s="1">
        <v>45834</v>
      </c>
      <c r="D14" s="1">
        <v>45834</v>
      </c>
      <c r="E14" s="19" t="s">
        <v>21</v>
      </c>
      <c r="F14" s="19"/>
      <c r="G14" s="2" t="s">
        <v>22</v>
      </c>
      <c r="H14" s="3">
        <v>341.6</v>
      </c>
      <c r="I14" s="4">
        <v>375.34699999999998</v>
      </c>
      <c r="J14" s="4">
        <f t="shared" si="5"/>
        <v>128218.5352</v>
      </c>
      <c r="K14" s="4">
        <f t="shared" si="0"/>
        <v>420.38864000000001</v>
      </c>
      <c r="L14" s="1">
        <f t="shared" ref="L14:L15" si="7">D14+17</f>
        <v>45851</v>
      </c>
      <c r="M14" s="21">
        <f t="shared" si="2"/>
        <v>143604.75942400002</v>
      </c>
      <c r="N14" s="22" t="s">
        <v>97</v>
      </c>
      <c r="O14" s="2"/>
      <c r="P14" s="7">
        <f t="shared" ref="P14:P15" si="8">DAYS360(L14,W14)-(1)</f>
        <v>29</v>
      </c>
      <c r="Q14" s="66">
        <f t="shared" si="6"/>
        <v>2053.7447786117264</v>
      </c>
      <c r="R14" s="2">
        <v>2154</v>
      </c>
      <c r="S14" s="2" t="s">
        <v>24</v>
      </c>
      <c r="T14" s="2"/>
      <c r="U14" s="2" t="s">
        <v>107</v>
      </c>
      <c r="V14" s="2"/>
      <c r="W14" s="23">
        <v>45882</v>
      </c>
      <c r="Y14" s="18">
        <v>10</v>
      </c>
      <c r="Z14" s="1"/>
      <c r="AA14" s="1"/>
      <c r="AB14" s="2"/>
      <c r="AC14" s="3"/>
      <c r="AD14" s="4"/>
      <c r="AE14" s="4"/>
      <c r="AF14" s="24"/>
      <c r="AG14" s="2"/>
      <c r="AH14" s="23"/>
    </row>
    <row r="15" spans="1:34" hidden="1">
      <c r="A15" t="s">
        <v>113</v>
      </c>
      <c r="B15" s="18">
        <v>11</v>
      </c>
      <c r="C15" s="1">
        <v>45834</v>
      </c>
      <c r="D15" s="1">
        <v>45834</v>
      </c>
      <c r="E15" s="19" t="s">
        <v>21</v>
      </c>
      <c r="F15" s="19"/>
      <c r="G15" s="2" t="s">
        <v>22</v>
      </c>
      <c r="H15" s="3">
        <v>154</v>
      </c>
      <c r="I15" s="4">
        <v>375.79399999999998</v>
      </c>
      <c r="J15" s="4">
        <f t="shared" si="5"/>
        <v>57872.275999999998</v>
      </c>
      <c r="K15" s="4">
        <f t="shared" si="0"/>
        <v>420.88928000000004</v>
      </c>
      <c r="L15" s="1">
        <f t="shared" si="7"/>
        <v>45851</v>
      </c>
      <c r="M15" s="21">
        <f t="shared" si="2"/>
        <v>64816.949120000005</v>
      </c>
      <c r="N15" s="22" t="s">
        <v>97</v>
      </c>
      <c r="O15" s="2"/>
      <c r="P15" s="7">
        <f t="shared" si="8"/>
        <v>29</v>
      </c>
      <c r="Q15" s="66">
        <f t="shared" si="6"/>
        <v>926.97116275726023</v>
      </c>
      <c r="R15" s="2">
        <v>972</v>
      </c>
      <c r="S15" s="2" t="s">
        <v>25</v>
      </c>
      <c r="T15" s="2"/>
      <c r="U15" s="2" t="s">
        <v>107</v>
      </c>
      <c r="V15" s="2"/>
      <c r="W15" s="23">
        <v>45882</v>
      </c>
      <c r="Y15" s="18">
        <v>11</v>
      </c>
      <c r="Z15" s="1"/>
      <c r="AA15" s="1"/>
      <c r="AB15" s="2"/>
      <c r="AC15" s="3"/>
      <c r="AD15" s="4"/>
      <c r="AE15" s="4"/>
      <c r="AF15" s="24"/>
      <c r="AG15" s="2"/>
      <c r="AH15" s="23"/>
    </row>
    <row r="16" spans="1:34">
      <c r="A16" t="s">
        <v>113</v>
      </c>
      <c r="B16" s="18">
        <v>12</v>
      </c>
      <c r="C16" s="40">
        <v>45835</v>
      </c>
      <c r="D16" s="40">
        <v>45835</v>
      </c>
      <c r="E16" s="41" t="s">
        <v>26</v>
      </c>
      <c r="F16" s="41"/>
      <c r="G16" s="42" t="s">
        <v>35</v>
      </c>
      <c r="H16" s="43">
        <v>0</v>
      </c>
      <c r="I16" s="44">
        <v>416.9</v>
      </c>
      <c r="J16" s="4">
        <f t="shared" si="5"/>
        <v>0</v>
      </c>
      <c r="K16" s="44">
        <f t="shared" si="0"/>
        <v>466.928</v>
      </c>
      <c r="L16" s="40">
        <f t="shared" si="1"/>
        <v>45850</v>
      </c>
      <c r="M16" s="45">
        <f t="shared" si="2"/>
        <v>0</v>
      </c>
      <c r="N16" s="25"/>
      <c r="O16" s="2"/>
      <c r="P16" s="7">
        <f t="shared" ref="P16:P17" ca="1" si="9">DAYS360(L16,TODAY())-(1)</f>
        <v>334</v>
      </c>
      <c r="Q16" s="2"/>
      <c r="R16" s="2"/>
      <c r="S16" s="2"/>
      <c r="T16" s="2"/>
      <c r="U16" s="2"/>
      <c r="V16" s="2"/>
      <c r="W16" s="23"/>
      <c r="Y16" s="18">
        <v>12</v>
      </c>
      <c r="Z16" s="40"/>
      <c r="AA16" s="40"/>
      <c r="AB16" s="42"/>
      <c r="AC16" s="43"/>
      <c r="AD16" s="44"/>
      <c r="AE16" s="44"/>
      <c r="AF16" s="24"/>
      <c r="AG16" s="2"/>
      <c r="AH16" s="23"/>
    </row>
    <row r="17" spans="1:34">
      <c r="A17" t="s">
        <v>113</v>
      </c>
      <c r="B17" s="46">
        <v>13</v>
      </c>
      <c r="C17" s="47">
        <v>45836</v>
      </c>
      <c r="D17" s="47">
        <v>45832</v>
      </c>
      <c r="E17" s="48" t="s">
        <v>26</v>
      </c>
      <c r="F17" s="48" t="s">
        <v>38</v>
      </c>
      <c r="G17" s="49" t="s">
        <v>37</v>
      </c>
      <c r="H17" s="50">
        <v>440.07</v>
      </c>
      <c r="I17" s="51">
        <v>133.9</v>
      </c>
      <c r="J17" s="4">
        <f t="shared" si="5"/>
        <v>58925.373</v>
      </c>
      <c r="K17" s="51">
        <f t="shared" si="0"/>
        <v>149.96800000000002</v>
      </c>
      <c r="L17" s="47">
        <f t="shared" si="1"/>
        <v>45847</v>
      </c>
      <c r="M17" s="75">
        <f t="shared" si="2"/>
        <v>65996.417760000011</v>
      </c>
      <c r="N17" s="76" t="s">
        <v>97</v>
      </c>
      <c r="O17" s="49"/>
      <c r="P17" s="53">
        <f t="shared" ca="1" si="9"/>
        <v>337</v>
      </c>
      <c r="Q17" s="66">
        <f t="shared" ref="Q17:Q26" ca="1" si="10">0.18*P17*M17/365</f>
        <v>10968.062195401646</v>
      </c>
      <c r="R17" s="49"/>
      <c r="S17" s="49">
        <v>7572</v>
      </c>
      <c r="T17" s="49"/>
      <c r="U17" s="49"/>
      <c r="V17" s="49"/>
      <c r="W17" s="54">
        <v>45969</v>
      </c>
      <c r="X17" s="55"/>
      <c r="Y17" s="56">
        <v>13</v>
      </c>
      <c r="Z17" s="47"/>
      <c r="AA17" s="47"/>
      <c r="AB17" s="49"/>
      <c r="AC17" s="50">
        <v>440.07</v>
      </c>
      <c r="AD17" s="51">
        <v>133.9</v>
      </c>
      <c r="AE17" s="51">
        <f t="shared" ref="AE17" si="11">AD17*1.12</f>
        <v>149.96800000000002</v>
      </c>
      <c r="AF17" s="52">
        <f t="shared" ref="AF17" si="12">AC17*AE17</f>
        <v>65996.417760000011</v>
      </c>
      <c r="AG17" s="49"/>
      <c r="AH17" s="57"/>
    </row>
    <row r="18" spans="1:34">
      <c r="A18" t="s">
        <v>113</v>
      </c>
      <c r="B18" s="18">
        <v>14</v>
      </c>
      <c r="C18" s="1">
        <v>45841</v>
      </c>
      <c r="D18" s="1">
        <v>45841</v>
      </c>
      <c r="E18" s="19" t="s">
        <v>26</v>
      </c>
      <c r="F18" s="19" t="s">
        <v>42</v>
      </c>
      <c r="G18" s="2" t="s">
        <v>43</v>
      </c>
      <c r="H18" s="3">
        <v>243.87</v>
      </c>
      <c r="I18" s="4">
        <v>120</v>
      </c>
      <c r="J18" s="4">
        <f t="shared" si="5"/>
        <v>29264.400000000001</v>
      </c>
      <c r="K18" s="4">
        <f t="shared" si="0"/>
        <v>134.4</v>
      </c>
      <c r="L18" s="1">
        <f t="shared" si="1"/>
        <v>45856</v>
      </c>
      <c r="M18" s="21">
        <f t="shared" si="2"/>
        <v>32776.128000000004</v>
      </c>
      <c r="N18" s="22" t="s">
        <v>97</v>
      </c>
      <c r="O18" s="2"/>
      <c r="P18" s="7">
        <f>DAYS360(L18,W18)-(1)</f>
        <v>26</v>
      </c>
      <c r="Q18" s="66">
        <f t="shared" si="10"/>
        <v>420.25281928767129</v>
      </c>
      <c r="R18" s="2" t="s">
        <v>117</v>
      </c>
      <c r="S18" s="2">
        <v>8627</v>
      </c>
      <c r="T18" s="2"/>
      <c r="U18" s="2"/>
      <c r="V18" s="2"/>
      <c r="W18" s="23">
        <v>45884</v>
      </c>
      <c r="Y18" s="18"/>
      <c r="Z18" s="1"/>
      <c r="AA18" s="1"/>
      <c r="AB18" s="2"/>
      <c r="AC18" s="3"/>
      <c r="AD18" s="4"/>
      <c r="AE18" s="4"/>
      <c r="AF18" s="24"/>
      <c r="AG18" s="2"/>
      <c r="AH18" s="23"/>
    </row>
    <row r="19" spans="1:34" hidden="1">
      <c r="A19" t="s">
        <v>113</v>
      </c>
      <c r="B19" s="18">
        <v>15</v>
      </c>
      <c r="C19" s="1">
        <v>45848</v>
      </c>
      <c r="D19" s="1">
        <v>45848</v>
      </c>
      <c r="E19" s="19" t="s">
        <v>21</v>
      </c>
      <c r="F19" s="19"/>
      <c r="G19" s="2" t="s">
        <v>22</v>
      </c>
      <c r="H19" s="3">
        <v>98</v>
      </c>
      <c r="I19" s="4">
        <v>378.38900000000001</v>
      </c>
      <c r="J19" s="4">
        <f t="shared" si="5"/>
        <v>37082.122000000003</v>
      </c>
      <c r="K19" s="4">
        <f t="shared" si="0"/>
        <v>423.79568000000006</v>
      </c>
      <c r="L19" s="1">
        <f t="shared" ref="L19:L24" si="13">D19+17</f>
        <v>45865</v>
      </c>
      <c r="M19" s="21">
        <f t="shared" si="2"/>
        <v>41531.976640000008</v>
      </c>
      <c r="N19" s="22" t="s">
        <v>97</v>
      </c>
      <c r="O19" s="2"/>
      <c r="P19" s="7">
        <f t="shared" ref="P19:P24" si="14">DAYS360(L19,W19)-(1)</f>
        <v>16</v>
      </c>
      <c r="Q19" s="66">
        <f t="shared" si="10"/>
        <v>327.70436362520553</v>
      </c>
      <c r="R19" s="2">
        <v>353</v>
      </c>
      <c r="S19" s="2" t="s">
        <v>44</v>
      </c>
      <c r="T19" s="2"/>
      <c r="U19" s="2" t="s">
        <v>107</v>
      </c>
      <c r="V19" s="2"/>
      <c r="W19" s="23">
        <v>45883</v>
      </c>
      <c r="Y19" s="18"/>
      <c r="Z19" s="1"/>
      <c r="AA19" s="1"/>
      <c r="AB19" s="2"/>
      <c r="AC19" s="3"/>
      <c r="AD19" s="4"/>
      <c r="AE19" s="4"/>
      <c r="AF19" s="24"/>
      <c r="AG19" s="2"/>
      <c r="AH19" s="23"/>
    </row>
    <row r="20" spans="1:34" hidden="1">
      <c r="A20" t="s">
        <v>113</v>
      </c>
      <c r="B20" s="18">
        <v>16</v>
      </c>
      <c r="C20" s="1">
        <v>45848</v>
      </c>
      <c r="D20" s="1">
        <v>45848</v>
      </c>
      <c r="E20" s="19" t="s">
        <v>21</v>
      </c>
      <c r="F20" s="19"/>
      <c r="G20" s="2" t="s">
        <v>22</v>
      </c>
      <c r="H20" s="3">
        <v>98</v>
      </c>
      <c r="I20" s="4">
        <v>378.38900000000001</v>
      </c>
      <c r="J20" s="4">
        <f t="shared" si="5"/>
        <v>37082.122000000003</v>
      </c>
      <c r="K20" s="4">
        <f t="shared" si="0"/>
        <v>423.79568000000006</v>
      </c>
      <c r="L20" s="1">
        <f t="shared" si="13"/>
        <v>45865</v>
      </c>
      <c r="M20" s="21">
        <f t="shared" si="2"/>
        <v>41531.976640000008</v>
      </c>
      <c r="N20" s="22" t="s">
        <v>97</v>
      </c>
      <c r="O20" s="2"/>
      <c r="P20" s="7">
        <f t="shared" si="14"/>
        <v>16</v>
      </c>
      <c r="Q20" s="66">
        <f t="shared" si="10"/>
        <v>327.70436362520553</v>
      </c>
      <c r="R20" s="2">
        <v>353</v>
      </c>
      <c r="S20" s="2" t="s">
        <v>45</v>
      </c>
      <c r="T20" s="2"/>
      <c r="U20" s="2" t="s">
        <v>107</v>
      </c>
      <c r="V20" s="2"/>
      <c r="W20" s="23">
        <v>45883</v>
      </c>
      <c r="Y20" s="18"/>
      <c r="Z20" s="1"/>
      <c r="AA20" s="1"/>
      <c r="AB20" s="2"/>
      <c r="AC20" s="3"/>
      <c r="AD20" s="4"/>
      <c r="AE20" s="4"/>
      <c r="AF20" s="24"/>
      <c r="AG20" s="2"/>
      <c r="AH20" s="23"/>
    </row>
    <row r="21" spans="1:34" hidden="1">
      <c r="A21" t="s">
        <v>113</v>
      </c>
      <c r="B21" s="18">
        <v>17</v>
      </c>
      <c r="C21" s="1">
        <v>45848</v>
      </c>
      <c r="D21" s="1">
        <v>45848</v>
      </c>
      <c r="E21" s="19" t="s">
        <v>21</v>
      </c>
      <c r="F21" s="19"/>
      <c r="G21" s="2" t="s">
        <v>22</v>
      </c>
      <c r="H21" s="3">
        <v>98</v>
      </c>
      <c r="I21" s="4">
        <v>378.38900000000001</v>
      </c>
      <c r="J21" s="4">
        <f t="shared" si="5"/>
        <v>37082.122000000003</v>
      </c>
      <c r="K21" s="4">
        <f t="shared" si="0"/>
        <v>423.79568000000006</v>
      </c>
      <c r="L21" s="1">
        <f t="shared" si="13"/>
        <v>45865</v>
      </c>
      <c r="M21" s="21">
        <f t="shared" si="2"/>
        <v>41531.976640000008</v>
      </c>
      <c r="N21" s="22" t="s">
        <v>97</v>
      </c>
      <c r="O21" s="2"/>
      <c r="P21" s="7">
        <f t="shared" si="14"/>
        <v>16</v>
      </c>
      <c r="Q21" s="66">
        <f t="shared" si="10"/>
        <v>327.70436362520553</v>
      </c>
      <c r="R21" s="2">
        <v>353</v>
      </c>
      <c r="S21" s="2" t="s">
        <v>46</v>
      </c>
      <c r="T21" s="2"/>
      <c r="U21" s="2" t="s">
        <v>107</v>
      </c>
      <c r="V21" s="2"/>
      <c r="W21" s="23">
        <v>45883</v>
      </c>
      <c r="Y21" s="18"/>
      <c r="Z21" s="1"/>
      <c r="AA21" s="1"/>
      <c r="AB21" s="2"/>
      <c r="AC21" s="3"/>
      <c r="AD21" s="4"/>
      <c r="AE21" s="4"/>
      <c r="AF21" s="24"/>
      <c r="AG21" s="2"/>
      <c r="AH21" s="23"/>
    </row>
    <row r="22" spans="1:34" hidden="1">
      <c r="A22" t="s">
        <v>113</v>
      </c>
      <c r="B22" s="18">
        <v>18</v>
      </c>
      <c r="C22" s="1">
        <v>45848</v>
      </c>
      <c r="D22" s="1">
        <v>45848</v>
      </c>
      <c r="E22" s="19" t="s">
        <v>21</v>
      </c>
      <c r="F22" s="19"/>
      <c r="G22" s="2" t="s">
        <v>22</v>
      </c>
      <c r="H22" s="3">
        <v>98</v>
      </c>
      <c r="I22" s="4">
        <v>378.38900000000001</v>
      </c>
      <c r="J22" s="4">
        <f t="shared" si="5"/>
        <v>37082.122000000003</v>
      </c>
      <c r="K22" s="4">
        <f t="shared" si="0"/>
        <v>423.79568000000006</v>
      </c>
      <c r="L22" s="1">
        <f t="shared" si="13"/>
        <v>45865</v>
      </c>
      <c r="M22" s="21">
        <f t="shared" si="2"/>
        <v>41531.976640000008</v>
      </c>
      <c r="N22" s="22" t="s">
        <v>97</v>
      </c>
      <c r="O22" s="2"/>
      <c r="P22" s="7">
        <f t="shared" si="14"/>
        <v>16</v>
      </c>
      <c r="Q22" s="66">
        <f t="shared" si="10"/>
        <v>327.70436362520553</v>
      </c>
      <c r="R22" s="2">
        <v>353</v>
      </c>
      <c r="S22" s="2" t="s">
        <v>47</v>
      </c>
      <c r="T22" s="2"/>
      <c r="U22" s="2" t="s">
        <v>107</v>
      </c>
      <c r="V22" s="2"/>
      <c r="W22" s="23">
        <v>45883</v>
      </c>
      <c r="Y22" s="18"/>
      <c r="Z22" s="1"/>
      <c r="AA22" s="1"/>
      <c r="AB22" s="2"/>
      <c r="AC22" s="3"/>
      <c r="AD22" s="4"/>
      <c r="AE22" s="4"/>
      <c r="AF22" s="24"/>
      <c r="AG22" s="2"/>
      <c r="AH22" s="23"/>
    </row>
    <row r="23" spans="1:34" hidden="1">
      <c r="A23" t="s">
        <v>113</v>
      </c>
      <c r="B23" s="18">
        <v>19</v>
      </c>
      <c r="C23" s="1">
        <v>45849</v>
      </c>
      <c r="D23" s="1">
        <v>45849</v>
      </c>
      <c r="E23" s="19" t="s">
        <v>21</v>
      </c>
      <c r="F23" s="19"/>
      <c r="G23" s="2" t="s">
        <v>22</v>
      </c>
      <c r="H23" s="3">
        <v>98</v>
      </c>
      <c r="I23" s="4">
        <v>378.38900000000001</v>
      </c>
      <c r="J23" s="4">
        <f t="shared" si="5"/>
        <v>37082.122000000003</v>
      </c>
      <c r="K23" s="4">
        <f t="shared" si="0"/>
        <v>423.79568000000006</v>
      </c>
      <c r="L23" s="1">
        <f t="shared" si="13"/>
        <v>45866</v>
      </c>
      <c r="M23" s="21">
        <f t="shared" si="2"/>
        <v>41531.976640000008</v>
      </c>
      <c r="N23" s="22" t="s">
        <v>97</v>
      </c>
      <c r="O23" s="2"/>
      <c r="P23" s="7">
        <f t="shared" si="14"/>
        <v>15</v>
      </c>
      <c r="Q23" s="66">
        <f t="shared" si="10"/>
        <v>307.22284089863012</v>
      </c>
      <c r="R23" s="2">
        <v>332</v>
      </c>
      <c r="S23" s="2" t="s">
        <v>48</v>
      </c>
      <c r="T23" s="2"/>
      <c r="U23" s="2" t="s">
        <v>107</v>
      </c>
      <c r="V23" s="2"/>
      <c r="W23" s="23">
        <v>45883</v>
      </c>
      <c r="Y23" s="18"/>
      <c r="Z23" s="1"/>
      <c r="AA23" s="1"/>
      <c r="AB23" s="2"/>
      <c r="AC23" s="3"/>
      <c r="AD23" s="4"/>
      <c r="AE23" s="4"/>
      <c r="AF23" s="24"/>
      <c r="AG23" s="2"/>
      <c r="AH23" s="23"/>
    </row>
    <row r="24" spans="1:34" hidden="1">
      <c r="A24" t="s">
        <v>113</v>
      </c>
      <c r="B24" s="18">
        <v>20</v>
      </c>
      <c r="C24" s="1">
        <v>45849</v>
      </c>
      <c r="D24" s="1">
        <v>45849</v>
      </c>
      <c r="E24" s="19" t="s">
        <v>21</v>
      </c>
      <c r="F24" s="19"/>
      <c r="G24" s="2" t="s">
        <v>22</v>
      </c>
      <c r="H24" s="3">
        <v>182</v>
      </c>
      <c r="I24" s="4">
        <v>375.09800000000001</v>
      </c>
      <c r="J24" s="4">
        <f t="shared" si="5"/>
        <v>68267.835999999996</v>
      </c>
      <c r="K24" s="4">
        <f t="shared" si="0"/>
        <v>420.10976000000005</v>
      </c>
      <c r="L24" s="1">
        <f t="shared" si="13"/>
        <v>45866</v>
      </c>
      <c r="M24" s="21">
        <f t="shared" si="2"/>
        <v>76459.976320000016</v>
      </c>
      <c r="N24" s="22" t="s">
        <v>97</v>
      </c>
      <c r="O24" s="2"/>
      <c r="P24" s="7">
        <f t="shared" si="14"/>
        <v>15</v>
      </c>
      <c r="Q24" s="66">
        <f t="shared" si="10"/>
        <v>565.59434538082189</v>
      </c>
      <c r="R24" s="2">
        <v>611</v>
      </c>
      <c r="S24" s="2" t="s">
        <v>49</v>
      </c>
      <c r="T24" s="2"/>
      <c r="U24" s="2" t="s">
        <v>107</v>
      </c>
      <c r="V24" s="2"/>
      <c r="W24" s="23">
        <v>45883</v>
      </c>
      <c r="Y24" s="18"/>
      <c r="Z24" s="1"/>
      <c r="AA24" s="1"/>
      <c r="AB24" s="2"/>
      <c r="AC24" s="3"/>
      <c r="AD24" s="4"/>
      <c r="AE24" s="4"/>
      <c r="AF24" s="24"/>
      <c r="AG24" s="2"/>
      <c r="AH24" s="23"/>
    </row>
    <row r="25" spans="1:34" hidden="1">
      <c r="A25" t="s">
        <v>113</v>
      </c>
      <c r="B25" s="18">
        <v>21</v>
      </c>
      <c r="C25" s="1">
        <v>45854</v>
      </c>
      <c r="D25" s="1">
        <v>45855</v>
      </c>
      <c r="E25" s="19" t="s">
        <v>94</v>
      </c>
      <c r="F25" s="19" t="s">
        <v>95</v>
      </c>
      <c r="G25" s="2" t="s">
        <v>85</v>
      </c>
      <c r="H25" s="3">
        <v>206.76</v>
      </c>
      <c r="I25" s="4">
        <v>307</v>
      </c>
      <c r="J25" s="4">
        <f t="shared" si="5"/>
        <v>63475.32</v>
      </c>
      <c r="K25" s="4">
        <f t="shared" si="0"/>
        <v>343.84000000000003</v>
      </c>
      <c r="L25" s="1">
        <f>D25+17</f>
        <v>45872</v>
      </c>
      <c r="M25" s="21">
        <f t="shared" si="2"/>
        <v>71092.358399999997</v>
      </c>
      <c r="N25" s="22" t="s">
        <v>98</v>
      </c>
      <c r="O25" s="2"/>
      <c r="P25" s="7">
        <f t="shared" ref="P25:P30" si="15">DAYS360(L25,W25)-(1)</f>
        <v>20</v>
      </c>
      <c r="Q25" s="66">
        <f>0.18*P25*M25/365</f>
        <v>701.18490476712316</v>
      </c>
      <c r="R25" s="2"/>
      <c r="S25" s="2">
        <v>95013821</v>
      </c>
      <c r="U25" s="2" t="s">
        <v>107</v>
      </c>
      <c r="V25" s="1">
        <v>45939</v>
      </c>
      <c r="W25" s="23">
        <v>45893</v>
      </c>
      <c r="Y25" s="18"/>
      <c r="Z25" s="1"/>
      <c r="AA25" s="1"/>
      <c r="AB25" s="2"/>
      <c r="AC25" s="3"/>
      <c r="AD25" s="4"/>
      <c r="AE25" s="4"/>
      <c r="AF25" s="24"/>
      <c r="AG25" s="2"/>
      <c r="AH25" s="23"/>
    </row>
    <row r="26" spans="1:34">
      <c r="A26" t="s">
        <v>113</v>
      </c>
      <c r="B26" s="18">
        <v>22</v>
      </c>
      <c r="C26" s="1">
        <v>45856</v>
      </c>
      <c r="D26" s="1">
        <v>45856</v>
      </c>
      <c r="E26" s="19" t="s">
        <v>26</v>
      </c>
      <c r="F26" s="19">
        <v>2002</v>
      </c>
      <c r="G26" s="99" t="s">
        <v>167</v>
      </c>
      <c r="H26" s="3">
        <v>1012.32</v>
      </c>
      <c r="I26" s="4">
        <v>272.32139999999998</v>
      </c>
      <c r="J26" s="4">
        <f t="shared" si="5"/>
        <v>275676.39964800002</v>
      </c>
      <c r="K26" s="4">
        <f t="shared" si="0"/>
        <v>304.99996800000002</v>
      </c>
      <c r="L26" s="1">
        <f t="shared" si="1"/>
        <v>45871</v>
      </c>
      <c r="M26" s="21">
        <f t="shared" si="2"/>
        <v>308757.56760576006</v>
      </c>
      <c r="N26" s="22" t="s">
        <v>97</v>
      </c>
      <c r="O26" s="2"/>
      <c r="P26" s="7">
        <f t="shared" si="15"/>
        <v>12</v>
      </c>
      <c r="Q26" s="66">
        <f t="shared" si="10"/>
        <v>1827.1680713107994</v>
      </c>
      <c r="R26" s="2" t="s">
        <v>117</v>
      </c>
      <c r="S26" s="2">
        <v>9979</v>
      </c>
      <c r="T26" s="2"/>
      <c r="U26" s="2"/>
      <c r="V26" s="2"/>
      <c r="W26" s="23">
        <v>45884</v>
      </c>
      <c r="Y26" s="18"/>
      <c r="Z26" s="1"/>
      <c r="AA26" s="1"/>
      <c r="AB26" s="2"/>
      <c r="AC26" s="3"/>
      <c r="AD26" s="4"/>
      <c r="AE26" s="4"/>
      <c r="AF26" s="24"/>
      <c r="AG26" s="2"/>
      <c r="AH26" s="23"/>
    </row>
    <row r="27" spans="1:34" hidden="1">
      <c r="A27" t="s">
        <v>113</v>
      </c>
      <c r="B27" s="18">
        <v>23</v>
      </c>
      <c r="C27" s="1">
        <v>45870</v>
      </c>
      <c r="D27" s="1">
        <v>45870</v>
      </c>
      <c r="E27" s="19" t="s">
        <v>91</v>
      </c>
      <c r="F27" s="19" t="s">
        <v>92</v>
      </c>
      <c r="G27" s="2" t="s">
        <v>85</v>
      </c>
      <c r="H27" s="3">
        <v>256</v>
      </c>
      <c r="I27" s="4">
        <v>301.78570000000002</v>
      </c>
      <c r="J27" s="4">
        <f t="shared" si="5"/>
        <v>77257.139200000005</v>
      </c>
      <c r="K27" s="4">
        <f t="shared" si="0"/>
        <v>337.99998400000004</v>
      </c>
      <c r="L27" s="1">
        <f>D27+18</f>
        <v>45888</v>
      </c>
      <c r="M27" s="21">
        <f t="shared" si="2"/>
        <v>86527.99590400001</v>
      </c>
      <c r="N27" s="22" t="s">
        <v>97</v>
      </c>
      <c r="O27" s="2"/>
      <c r="P27" s="7">
        <f t="shared" si="15"/>
        <v>4</v>
      </c>
      <c r="Q27" s="66">
        <f t="shared" ref="Q27:Q32" si="16">0.18*P27*M27/365</f>
        <v>170.68536178323291</v>
      </c>
      <c r="R27" s="2"/>
      <c r="S27" s="2" t="s">
        <v>96</v>
      </c>
      <c r="T27" s="1">
        <v>46069</v>
      </c>
      <c r="U27" s="2"/>
      <c r="V27" s="2"/>
      <c r="W27" s="23">
        <v>45893</v>
      </c>
      <c r="Y27" s="18"/>
      <c r="Z27" s="1"/>
      <c r="AA27" s="1"/>
      <c r="AB27" s="2"/>
      <c r="AC27" s="3"/>
      <c r="AD27" s="4"/>
      <c r="AE27" s="4"/>
      <c r="AF27" s="24"/>
      <c r="AG27" s="2"/>
      <c r="AH27" s="23"/>
    </row>
    <row r="28" spans="1:34" hidden="1">
      <c r="A28" t="s">
        <v>113</v>
      </c>
      <c r="B28" s="18">
        <v>24</v>
      </c>
      <c r="C28" s="1">
        <v>45884</v>
      </c>
      <c r="D28" s="1">
        <v>45883</v>
      </c>
      <c r="E28" s="2" t="s">
        <v>19</v>
      </c>
      <c r="F28" s="2">
        <v>110</v>
      </c>
      <c r="G28" s="99" t="s">
        <v>166</v>
      </c>
      <c r="H28" s="3">
        <v>767.2</v>
      </c>
      <c r="I28" s="4">
        <v>186.2</v>
      </c>
      <c r="J28" s="4">
        <f t="shared" si="5"/>
        <v>142852.64000000001</v>
      </c>
      <c r="K28" s="4">
        <f t="shared" si="0"/>
        <v>208.54400000000001</v>
      </c>
      <c r="L28" s="1">
        <f t="shared" si="1"/>
        <v>45898</v>
      </c>
      <c r="M28" s="21">
        <f t="shared" si="2"/>
        <v>159994.95680000001</v>
      </c>
      <c r="N28" s="22" t="s">
        <v>98</v>
      </c>
      <c r="O28" s="2"/>
      <c r="P28" s="7">
        <f t="shared" si="15"/>
        <v>37</v>
      </c>
      <c r="Q28" s="66">
        <f t="shared" si="16"/>
        <v>2919.3600336657537</v>
      </c>
      <c r="R28" s="2"/>
      <c r="S28" s="2">
        <v>14120</v>
      </c>
      <c r="T28" s="2"/>
      <c r="U28" s="2" t="s">
        <v>107</v>
      </c>
      <c r="V28" s="1">
        <v>45946</v>
      </c>
      <c r="W28" s="23">
        <v>45937</v>
      </c>
      <c r="Y28" s="18"/>
      <c r="Z28" s="1"/>
      <c r="AA28" s="1"/>
      <c r="AB28" s="2"/>
      <c r="AC28" s="3"/>
      <c r="AD28" s="4"/>
      <c r="AE28" s="4"/>
      <c r="AF28" s="24"/>
      <c r="AG28" s="2"/>
      <c r="AH28" s="23"/>
    </row>
    <row r="29" spans="1:34" hidden="1">
      <c r="A29" t="s">
        <v>113</v>
      </c>
      <c r="B29" s="18">
        <v>25</v>
      </c>
      <c r="C29" s="1">
        <v>45891</v>
      </c>
      <c r="D29" s="1">
        <v>45890</v>
      </c>
      <c r="E29" s="2" t="s">
        <v>19</v>
      </c>
      <c r="F29" s="2">
        <v>110</v>
      </c>
      <c r="G29" s="99" t="s">
        <v>166</v>
      </c>
      <c r="H29" s="3">
        <v>775.4</v>
      </c>
      <c r="I29" s="4">
        <v>185.3</v>
      </c>
      <c r="J29" s="4">
        <f t="shared" si="5"/>
        <v>143681.62</v>
      </c>
      <c r="K29" s="4">
        <f t="shared" si="0"/>
        <v>207.53600000000003</v>
      </c>
      <c r="L29" s="1">
        <f>C29+16</f>
        <v>45907</v>
      </c>
      <c r="M29" s="21">
        <f t="shared" si="2"/>
        <v>160923.41440000001</v>
      </c>
      <c r="N29" s="22" t="s">
        <v>99</v>
      </c>
      <c r="O29" s="2"/>
      <c r="P29" s="7">
        <f t="shared" si="15"/>
        <v>62</v>
      </c>
      <c r="Q29" s="66">
        <f t="shared" si="16"/>
        <v>4920.288506038356</v>
      </c>
      <c r="R29" s="2"/>
      <c r="S29" s="2">
        <v>14839</v>
      </c>
      <c r="T29" s="2"/>
      <c r="U29" s="2" t="s">
        <v>107</v>
      </c>
      <c r="V29" s="1">
        <v>45994</v>
      </c>
      <c r="W29" s="23">
        <v>45971</v>
      </c>
      <c r="Y29" s="18"/>
      <c r="Z29" s="1"/>
      <c r="AA29" s="1"/>
      <c r="AB29" s="2"/>
      <c r="AC29" s="3"/>
      <c r="AD29" s="4"/>
      <c r="AE29" s="4"/>
      <c r="AF29" s="24"/>
      <c r="AG29" s="2"/>
      <c r="AH29" s="23"/>
    </row>
    <row r="30" spans="1:34" hidden="1">
      <c r="A30" t="s">
        <v>113</v>
      </c>
      <c r="B30" s="18">
        <v>26</v>
      </c>
      <c r="C30" s="1">
        <v>45890</v>
      </c>
      <c r="D30" s="1">
        <v>45891</v>
      </c>
      <c r="E30" s="2" t="s">
        <v>94</v>
      </c>
      <c r="F30" s="2" t="s">
        <v>100</v>
      </c>
      <c r="G30" s="2" t="s">
        <v>85</v>
      </c>
      <c r="H30" s="3">
        <v>256</v>
      </c>
      <c r="I30" s="4">
        <v>302</v>
      </c>
      <c r="J30" s="4">
        <f t="shared" si="5"/>
        <v>77312</v>
      </c>
      <c r="K30" s="4">
        <f t="shared" si="0"/>
        <v>338.24</v>
      </c>
      <c r="L30" s="1">
        <f>D30+17</f>
        <v>45908</v>
      </c>
      <c r="M30" s="21">
        <f t="shared" si="2"/>
        <v>86589.440000000002</v>
      </c>
      <c r="N30" s="22" t="s">
        <v>98</v>
      </c>
      <c r="O30" s="2"/>
      <c r="P30" s="7">
        <f t="shared" si="15"/>
        <v>43</v>
      </c>
      <c r="Q30" s="66">
        <f>0.18*P30*M30/365</f>
        <v>1836.1705906849313</v>
      </c>
      <c r="R30" s="2"/>
      <c r="S30" s="2">
        <v>95019210</v>
      </c>
      <c r="T30" s="2"/>
      <c r="U30" s="2" t="s">
        <v>107</v>
      </c>
      <c r="V30" s="1">
        <v>45981</v>
      </c>
      <c r="W30" s="23">
        <v>45952</v>
      </c>
      <c r="Y30" s="18"/>
      <c r="Z30" s="1"/>
      <c r="AA30" s="1"/>
      <c r="AB30" s="2"/>
      <c r="AC30" s="3"/>
      <c r="AD30" s="4"/>
      <c r="AE30" s="4"/>
      <c r="AF30" s="24"/>
      <c r="AG30" s="2"/>
      <c r="AH30" s="23"/>
    </row>
    <row r="31" spans="1:34" hidden="1">
      <c r="A31" t="s">
        <v>113</v>
      </c>
      <c r="B31" s="18">
        <v>27</v>
      </c>
      <c r="C31" s="1">
        <v>45894</v>
      </c>
      <c r="D31" s="1">
        <v>45891</v>
      </c>
      <c r="E31" s="2" t="s">
        <v>19</v>
      </c>
      <c r="F31" s="2">
        <v>110</v>
      </c>
      <c r="G31" s="99" t="s">
        <v>166</v>
      </c>
      <c r="H31" s="3">
        <v>773.39</v>
      </c>
      <c r="I31" s="4">
        <v>186.2</v>
      </c>
      <c r="J31" s="4">
        <f t="shared" si="5"/>
        <v>144005.21799999999</v>
      </c>
      <c r="K31" s="4">
        <f t="shared" si="0"/>
        <v>208.54400000000001</v>
      </c>
      <c r="L31" s="1">
        <f t="shared" ref="L31:L32" si="17">C31+16</f>
        <v>45910</v>
      </c>
      <c r="M31" s="21">
        <f t="shared" si="2"/>
        <v>161285.84416000001</v>
      </c>
      <c r="N31" s="22" t="s">
        <v>99</v>
      </c>
      <c r="O31" s="2"/>
      <c r="P31" s="7">
        <f t="shared" ref="P31:P34" si="18">DAYS360(L31,W31)-(1)</f>
        <v>59</v>
      </c>
      <c r="Q31" s="66">
        <f t="shared" si="16"/>
        <v>4692.7552465183562</v>
      </c>
      <c r="R31" s="2"/>
      <c r="S31" s="2">
        <v>14952</v>
      </c>
      <c r="T31" s="2"/>
      <c r="U31" s="2" t="s">
        <v>107</v>
      </c>
      <c r="V31" s="1">
        <v>45994</v>
      </c>
      <c r="W31" s="23">
        <v>45971</v>
      </c>
      <c r="Y31" s="18"/>
      <c r="Z31" s="1"/>
      <c r="AA31" s="1"/>
      <c r="AB31" s="2"/>
      <c r="AC31" s="3"/>
      <c r="AD31" s="4"/>
      <c r="AE31" s="4"/>
      <c r="AF31" s="24"/>
      <c r="AG31" s="2"/>
      <c r="AH31" s="23"/>
    </row>
    <row r="32" spans="1:34" hidden="1">
      <c r="A32" t="s">
        <v>113</v>
      </c>
      <c r="B32" s="18">
        <v>28</v>
      </c>
      <c r="C32" s="1">
        <v>45895</v>
      </c>
      <c r="D32" s="1">
        <v>45894</v>
      </c>
      <c r="E32" s="2" t="s">
        <v>19</v>
      </c>
      <c r="F32" s="2">
        <v>110</v>
      </c>
      <c r="G32" s="99" t="s">
        <v>166</v>
      </c>
      <c r="H32" s="3">
        <v>774.12</v>
      </c>
      <c r="I32" s="4">
        <v>185.3</v>
      </c>
      <c r="J32" s="4">
        <f t="shared" si="5"/>
        <v>143444.43600000002</v>
      </c>
      <c r="K32" s="4">
        <f t="shared" si="0"/>
        <v>207.53600000000003</v>
      </c>
      <c r="L32" s="1">
        <f t="shared" si="17"/>
        <v>45911</v>
      </c>
      <c r="M32" s="21">
        <f t="shared" si="2"/>
        <v>160657.76832000003</v>
      </c>
      <c r="N32" s="22" t="s">
        <v>99</v>
      </c>
      <c r="O32" s="2"/>
      <c r="P32" s="7">
        <f t="shared" si="18"/>
        <v>58</v>
      </c>
      <c r="Q32" s="66">
        <f t="shared" si="16"/>
        <v>4595.2523322213701</v>
      </c>
      <c r="R32" s="2"/>
      <c r="S32" s="2">
        <v>15267</v>
      </c>
      <c r="T32" s="2"/>
      <c r="U32" s="2" t="s">
        <v>107</v>
      </c>
      <c r="V32" s="1">
        <v>45994</v>
      </c>
      <c r="W32" s="23">
        <v>45971</v>
      </c>
      <c r="Y32" s="18"/>
      <c r="Z32" s="1"/>
      <c r="AA32" s="1"/>
      <c r="AB32" s="2"/>
      <c r="AC32" s="3"/>
      <c r="AD32" s="4"/>
      <c r="AE32" s="4"/>
      <c r="AF32" s="24"/>
      <c r="AG32" s="2"/>
      <c r="AH32" s="23"/>
    </row>
    <row r="33" spans="1:34" hidden="1">
      <c r="A33" t="s">
        <v>113</v>
      </c>
      <c r="B33" s="18">
        <v>29</v>
      </c>
      <c r="C33" s="1">
        <v>45896</v>
      </c>
      <c r="D33" s="1">
        <v>45896</v>
      </c>
      <c r="E33" s="2" t="s">
        <v>111</v>
      </c>
      <c r="F33" s="2"/>
      <c r="G33" s="2" t="s">
        <v>22</v>
      </c>
      <c r="H33" s="3">
        <v>185.18</v>
      </c>
      <c r="I33" s="4">
        <v>378.81</v>
      </c>
      <c r="J33" s="4">
        <f t="shared" si="5"/>
        <v>70148.035799999998</v>
      </c>
      <c r="K33" s="4">
        <f t="shared" si="0"/>
        <v>424.26720000000006</v>
      </c>
      <c r="L33" s="1">
        <f t="shared" si="1"/>
        <v>45911</v>
      </c>
      <c r="M33" s="21">
        <f t="shared" si="2"/>
        <v>78565.800096000021</v>
      </c>
      <c r="N33" s="22" t="s">
        <v>97</v>
      </c>
      <c r="O33" s="2"/>
      <c r="P33" s="7">
        <f t="shared" si="18"/>
        <v>110</v>
      </c>
      <c r="Q33" s="66">
        <f t="shared" ref="Q33:Q34" si="19">0.18*P33*M33/365</f>
        <v>4261.925594248768</v>
      </c>
      <c r="R33" s="2"/>
      <c r="S33" s="2" t="s">
        <v>101</v>
      </c>
      <c r="T33" s="2"/>
      <c r="U33" s="2" t="s">
        <v>107</v>
      </c>
      <c r="V33" s="2"/>
      <c r="W33" s="23">
        <v>46024</v>
      </c>
      <c r="Y33" s="18"/>
      <c r="Z33" s="1"/>
      <c r="AA33" s="1"/>
      <c r="AB33" s="2"/>
      <c r="AC33" s="3"/>
      <c r="AD33" s="4"/>
      <c r="AE33" s="4"/>
      <c r="AF33" s="24"/>
      <c r="AG33" s="2"/>
      <c r="AH33" s="23"/>
    </row>
    <row r="34" spans="1:34" hidden="1">
      <c r="A34" t="s">
        <v>113</v>
      </c>
      <c r="B34" s="18">
        <v>30</v>
      </c>
      <c r="C34" s="1">
        <v>45896</v>
      </c>
      <c r="D34" s="1">
        <v>45896</v>
      </c>
      <c r="E34" s="2" t="s">
        <v>111</v>
      </c>
      <c r="F34" s="2"/>
      <c r="G34" s="2" t="s">
        <v>22</v>
      </c>
      <c r="H34" s="3">
        <v>186.58</v>
      </c>
      <c r="I34" s="4">
        <v>378.75299999999999</v>
      </c>
      <c r="J34" s="4">
        <f t="shared" si="5"/>
        <v>70667.73474</v>
      </c>
      <c r="K34" s="4">
        <f t="shared" si="0"/>
        <v>424.20336000000003</v>
      </c>
      <c r="L34" s="1">
        <f t="shared" si="1"/>
        <v>45911</v>
      </c>
      <c r="M34" s="21">
        <f t="shared" si="2"/>
        <v>79147.862908800016</v>
      </c>
      <c r="N34" s="22" t="s">
        <v>97</v>
      </c>
      <c r="O34" s="2"/>
      <c r="P34" s="7">
        <f t="shared" si="18"/>
        <v>110</v>
      </c>
      <c r="Q34" s="66">
        <f t="shared" si="19"/>
        <v>4293.5005084773711</v>
      </c>
      <c r="R34" s="2"/>
      <c r="S34" s="2" t="s">
        <v>102</v>
      </c>
      <c r="T34" s="2"/>
      <c r="U34" s="2" t="s">
        <v>107</v>
      </c>
      <c r="V34" s="2"/>
      <c r="W34" s="23">
        <v>46024</v>
      </c>
      <c r="Y34" s="18"/>
      <c r="Z34" s="1"/>
      <c r="AA34" s="1"/>
      <c r="AB34" s="2"/>
      <c r="AC34" s="3"/>
      <c r="AD34" s="4"/>
      <c r="AE34" s="4"/>
      <c r="AF34" s="24"/>
      <c r="AG34" s="2"/>
      <c r="AH34" s="23"/>
    </row>
    <row r="35" spans="1:34" hidden="1">
      <c r="A35" t="s">
        <v>113</v>
      </c>
      <c r="B35" s="18">
        <v>31</v>
      </c>
      <c r="C35" s="1">
        <v>45905</v>
      </c>
      <c r="D35" s="1">
        <v>45905</v>
      </c>
      <c r="E35" s="2" t="s">
        <v>94</v>
      </c>
      <c r="F35" s="2" t="s">
        <v>100</v>
      </c>
      <c r="G35" s="2" t="s">
        <v>85</v>
      </c>
      <c r="H35" s="3">
        <v>256</v>
      </c>
      <c r="I35" s="4">
        <v>302</v>
      </c>
      <c r="J35" s="4">
        <f t="shared" si="5"/>
        <v>77312</v>
      </c>
      <c r="K35" s="4">
        <f t="shared" si="0"/>
        <v>338.24</v>
      </c>
      <c r="L35" s="1">
        <f>D35+17</f>
        <v>45922</v>
      </c>
      <c r="M35" s="21">
        <f t="shared" si="2"/>
        <v>86589.440000000002</v>
      </c>
      <c r="N35" s="22" t="s">
        <v>98</v>
      </c>
      <c r="O35" s="2"/>
      <c r="P35" s="7">
        <f>DAYS360(L35,W35)-(1)</f>
        <v>29</v>
      </c>
      <c r="Q35" s="66">
        <f>0.18*P35*M35/365</f>
        <v>1238.3476076712327</v>
      </c>
      <c r="R35" s="2"/>
      <c r="S35" s="2">
        <v>95021280</v>
      </c>
      <c r="T35" s="2"/>
      <c r="U35" s="2" t="s">
        <v>107</v>
      </c>
      <c r="V35" s="1">
        <v>45981</v>
      </c>
      <c r="W35" s="23">
        <v>45952</v>
      </c>
      <c r="Y35" s="18"/>
      <c r="Z35" s="1"/>
      <c r="AA35" s="1"/>
      <c r="AB35" s="2"/>
      <c r="AC35" s="3"/>
      <c r="AD35" s="4"/>
      <c r="AE35" s="4"/>
      <c r="AF35" s="24"/>
      <c r="AG35" s="2"/>
      <c r="AH35" s="23"/>
    </row>
    <row r="36" spans="1:34" hidden="1">
      <c r="A36" t="s">
        <v>113</v>
      </c>
      <c r="B36" s="18">
        <v>32</v>
      </c>
      <c r="C36" s="1">
        <v>45912</v>
      </c>
      <c r="D36" s="1">
        <v>45911</v>
      </c>
      <c r="E36" s="2" t="s">
        <v>19</v>
      </c>
      <c r="F36" s="2">
        <v>110</v>
      </c>
      <c r="G36" s="99" t="s">
        <v>166</v>
      </c>
      <c r="H36" s="3">
        <v>725.12</v>
      </c>
      <c r="I36" s="4">
        <v>187.2</v>
      </c>
      <c r="J36" s="4">
        <f t="shared" si="5"/>
        <v>135742.46399999998</v>
      </c>
      <c r="K36" s="4">
        <f t="shared" si="0"/>
        <v>209.66400000000002</v>
      </c>
      <c r="L36" s="1">
        <f t="shared" ref="L36:L38" si="20">C36+16</f>
        <v>45928</v>
      </c>
      <c r="M36" s="21">
        <f t="shared" si="2"/>
        <v>152031.55968000001</v>
      </c>
      <c r="N36" s="22" t="s">
        <v>98</v>
      </c>
      <c r="O36" s="2"/>
      <c r="P36" s="7">
        <f t="shared" ref="P36:P40" si="21">DAYS360(L36,W36)-(1)</f>
        <v>37</v>
      </c>
      <c r="Q36" s="66">
        <f t="shared" ref="Q36:Q39" si="22">0.18*P36*M36/365</f>
        <v>2774.0553081336989</v>
      </c>
      <c r="R36" s="2"/>
      <c r="S36" s="2">
        <v>17495</v>
      </c>
      <c r="T36" s="2"/>
      <c r="U36" s="2" t="s">
        <v>107</v>
      </c>
      <c r="V36" s="1">
        <v>45994</v>
      </c>
      <c r="W36" s="23">
        <v>45967</v>
      </c>
      <c r="Y36" s="18"/>
      <c r="Z36" s="1"/>
      <c r="AA36" s="1"/>
      <c r="AB36" s="2"/>
      <c r="AC36" s="3"/>
      <c r="AD36" s="4"/>
      <c r="AE36" s="4"/>
      <c r="AF36" s="24"/>
      <c r="AG36" s="2"/>
      <c r="AH36" s="23"/>
    </row>
    <row r="37" spans="1:34" hidden="1">
      <c r="A37" t="s">
        <v>113</v>
      </c>
      <c r="B37" s="18">
        <v>33</v>
      </c>
      <c r="C37" s="1">
        <v>45916</v>
      </c>
      <c r="D37" s="1">
        <v>45915</v>
      </c>
      <c r="E37" s="2" t="s">
        <v>19</v>
      </c>
      <c r="F37" s="2">
        <v>110</v>
      </c>
      <c r="G37" s="99" t="s">
        <v>166</v>
      </c>
      <c r="H37" s="3">
        <v>761.73</v>
      </c>
      <c r="I37" s="4">
        <v>186.3</v>
      </c>
      <c r="J37" s="4">
        <f t="shared" si="5"/>
        <v>141910.299</v>
      </c>
      <c r="K37" s="4">
        <f t="shared" si="0"/>
        <v>208.65600000000003</v>
      </c>
      <c r="L37" s="1">
        <f t="shared" si="20"/>
        <v>45932</v>
      </c>
      <c r="M37" s="21">
        <f t="shared" si="2"/>
        <v>158939.53488000002</v>
      </c>
      <c r="N37" s="22" t="s">
        <v>98</v>
      </c>
      <c r="O37" s="2"/>
      <c r="P37" s="7">
        <f t="shared" si="21"/>
        <v>33</v>
      </c>
      <c r="Q37" s="66">
        <f t="shared" si="22"/>
        <v>2586.5776361293151</v>
      </c>
      <c r="R37" s="2"/>
      <c r="S37" s="2">
        <v>17930</v>
      </c>
      <c r="T37" s="2"/>
      <c r="U37" s="2" t="s">
        <v>107</v>
      </c>
      <c r="V37" s="1">
        <v>45994</v>
      </c>
      <c r="W37" s="23">
        <v>45967</v>
      </c>
      <c r="Y37" s="18"/>
      <c r="Z37" s="1"/>
      <c r="AA37" s="1"/>
      <c r="AB37" s="2"/>
      <c r="AC37" s="3"/>
      <c r="AD37" s="4"/>
      <c r="AE37" s="4"/>
      <c r="AF37" s="24"/>
      <c r="AG37" s="2"/>
      <c r="AH37" s="23"/>
    </row>
    <row r="38" spans="1:34" hidden="1">
      <c r="A38" t="s">
        <v>113</v>
      </c>
      <c r="B38" s="18">
        <v>34</v>
      </c>
      <c r="C38" s="1">
        <v>45919</v>
      </c>
      <c r="D38" s="1">
        <v>45918</v>
      </c>
      <c r="E38" s="2" t="s">
        <v>19</v>
      </c>
      <c r="F38" s="2">
        <v>110</v>
      </c>
      <c r="G38" s="99" t="s">
        <v>166</v>
      </c>
      <c r="H38" s="3">
        <v>385.88</v>
      </c>
      <c r="I38" s="4">
        <v>186.3</v>
      </c>
      <c r="J38" s="4">
        <f t="shared" si="5"/>
        <v>71889.444000000003</v>
      </c>
      <c r="K38" s="4">
        <f t="shared" si="0"/>
        <v>208.65600000000003</v>
      </c>
      <c r="L38" s="1">
        <f t="shared" si="20"/>
        <v>45935</v>
      </c>
      <c r="M38" s="21">
        <f t="shared" si="2"/>
        <v>80516.177280000018</v>
      </c>
      <c r="N38" s="22" t="s">
        <v>98</v>
      </c>
      <c r="O38" s="2"/>
      <c r="P38" s="7">
        <f t="shared" si="21"/>
        <v>32</v>
      </c>
      <c r="Q38" s="66">
        <f t="shared" si="22"/>
        <v>1270.6114551583564</v>
      </c>
      <c r="R38" s="2"/>
      <c r="S38" s="2">
        <v>18350</v>
      </c>
      <c r="T38" s="2"/>
      <c r="U38" s="2" t="s">
        <v>107</v>
      </c>
      <c r="V38" s="1">
        <v>45994</v>
      </c>
      <c r="W38" s="23">
        <v>45969</v>
      </c>
      <c r="Y38" s="18"/>
      <c r="Z38" s="1"/>
      <c r="AA38" s="1"/>
      <c r="AB38" s="2"/>
      <c r="AC38" s="3"/>
      <c r="AD38" s="4"/>
      <c r="AE38" s="4"/>
      <c r="AF38" s="24"/>
      <c r="AG38" s="2"/>
      <c r="AH38" s="23"/>
    </row>
    <row r="39" spans="1:34" hidden="1">
      <c r="A39" t="s">
        <v>113</v>
      </c>
      <c r="B39" s="18">
        <v>35</v>
      </c>
      <c r="C39" s="1">
        <v>45919</v>
      </c>
      <c r="D39" s="1">
        <v>45918</v>
      </c>
      <c r="E39" s="2" t="s">
        <v>91</v>
      </c>
      <c r="F39" s="2" t="s">
        <v>92</v>
      </c>
      <c r="G39" s="2" t="s">
        <v>85</v>
      </c>
      <c r="H39" s="3">
        <v>256</v>
      </c>
      <c r="I39" s="4">
        <v>294.6429</v>
      </c>
      <c r="J39" s="4">
        <f t="shared" si="5"/>
        <v>75428.582399999999</v>
      </c>
      <c r="K39" s="4">
        <f t="shared" si="0"/>
        <v>330.00004800000005</v>
      </c>
      <c r="L39" s="1">
        <f>D39+18</f>
        <v>45936</v>
      </c>
      <c r="M39" s="21">
        <f t="shared" si="2"/>
        <v>84480.012288000013</v>
      </c>
      <c r="N39" s="22" t="s">
        <v>97</v>
      </c>
      <c r="O39" s="2"/>
      <c r="P39" s="7">
        <f>DAYS360(L39,W39)-(1)</f>
        <v>8</v>
      </c>
      <c r="Q39" s="66">
        <f t="shared" si="22"/>
        <v>333.29100738279459</v>
      </c>
      <c r="R39" s="2"/>
      <c r="S39" s="2">
        <v>26604</v>
      </c>
      <c r="T39" s="1">
        <v>46069</v>
      </c>
      <c r="U39" s="2"/>
      <c r="V39" s="2"/>
      <c r="W39" s="23">
        <v>45945</v>
      </c>
      <c r="Y39" s="18"/>
      <c r="Z39" s="1"/>
      <c r="AA39" s="1"/>
      <c r="AB39" s="2"/>
      <c r="AC39" s="3"/>
      <c r="AD39" s="4"/>
      <c r="AE39" s="4"/>
      <c r="AF39" s="24"/>
      <c r="AG39" s="2"/>
      <c r="AH39" s="23"/>
    </row>
    <row r="40" spans="1:34" ht="15.75" thickBot="1">
      <c r="A40" t="s">
        <v>113</v>
      </c>
      <c r="B40" s="27">
        <v>36</v>
      </c>
      <c r="C40" s="28">
        <v>45918</v>
      </c>
      <c r="D40" s="28">
        <v>45918</v>
      </c>
      <c r="E40" s="30" t="s">
        <v>26</v>
      </c>
      <c r="F40" s="30"/>
      <c r="G40" s="30" t="s">
        <v>22</v>
      </c>
      <c r="H40" s="73">
        <v>512.4</v>
      </c>
      <c r="I40" s="32">
        <v>299.68400000000003</v>
      </c>
      <c r="J40" s="4">
        <f t="shared" si="5"/>
        <v>153558.0816</v>
      </c>
      <c r="K40" s="32">
        <f t="shared" si="0"/>
        <v>335.64608000000004</v>
      </c>
      <c r="L40" s="28">
        <f>D40+150</f>
        <v>46068</v>
      </c>
      <c r="M40" s="81">
        <f t="shared" si="2"/>
        <v>171985.05139200002</v>
      </c>
      <c r="N40" s="80" t="s">
        <v>99</v>
      </c>
      <c r="O40" s="30"/>
      <c r="P40" s="7">
        <f t="shared" si="21"/>
        <v>-2</v>
      </c>
      <c r="Q40" s="30"/>
      <c r="R40" s="30"/>
      <c r="S40" s="30" t="s">
        <v>106</v>
      </c>
      <c r="T40" s="30"/>
      <c r="U40" s="30"/>
      <c r="V40" s="30"/>
      <c r="W40" s="35">
        <v>46067</v>
      </c>
      <c r="Y40" s="18"/>
      <c r="Z40" s="1"/>
      <c r="AA40" s="1"/>
      <c r="AB40" s="2"/>
      <c r="AC40" s="3"/>
      <c r="AD40" s="4"/>
      <c r="AE40" s="4"/>
      <c r="AF40" s="24"/>
      <c r="AG40" s="2"/>
      <c r="AH40" s="23"/>
    </row>
    <row r="41" spans="1:34" hidden="1">
      <c r="A41" t="s">
        <v>113</v>
      </c>
      <c r="B41" s="18">
        <v>37</v>
      </c>
      <c r="C41" s="1">
        <v>45926</v>
      </c>
      <c r="D41" s="1">
        <v>45926</v>
      </c>
      <c r="E41" s="2" t="s">
        <v>91</v>
      </c>
      <c r="F41" s="2" t="s">
        <v>92</v>
      </c>
      <c r="G41" s="2" t="s">
        <v>85</v>
      </c>
      <c r="H41" s="3">
        <v>254.52</v>
      </c>
      <c r="I41" s="4">
        <v>297</v>
      </c>
      <c r="J41" s="4">
        <f t="shared" si="5"/>
        <v>75592.44</v>
      </c>
      <c r="K41" s="4">
        <f t="shared" ref="K41:K53" si="23">I41*1.05</f>
        <v>311.85000000000002</v>
      </c>
      <c r="L41" s="1">
        <f>D41+18</f>
        <v>45944</v>
      </c>
      <c r="M41" s="21">
        <f t="shared" si="2"/>
        <v>79372.062000000005</v>
      </c>
      <c r="N41" s="22" t="s">
        <v>97</v>
      </c>
      <c r="O41" s="2"/>
      <c r="P41" s="7">
        <f>DAYS360(L41,W41)-(1)</f>
        <v>0</v>
      </c>
      <c r="Q41" s="2"/>
      <c r="R41" s="2"/>
      <c r="S41" s="2">
        <v>27855</v>
      </c>
      <c r="T41" s="1">
        <v>46069</v>
      </c>
      <c r="U41" s="2"/>
      <c r="V41" s="2"/>
      <c r="W41" s="23">
        <v>45945</v>
      </c>
      <c r="Y41" s="18"/>
      <c r="Z41" s="1"/>
      <c r="AA41" s="1"/>
      <c r="AB41" s="2"/>
      <c r="AC41" s="3"/>
      <c r="AD41" s="4"/>
      <c r="AE41" s="4"/>
      <c r="AF41" s="24"/>
      <c r="AG41" s="2"/>
      <c r="AH41" s="23"/>
    </row>
    <row r="42" spans="1:34" hidden="1">
      <c r="A42" t="s">
        <v>113</v>
      </c>
      <c r="B42" s="18">
        <v>38</v>
      </c>
      <c r="C42" s="1">
        <v>45929</v>
      </c>
      <c r="D42" s="1">
        <v>45930</v>
      </c>
      <c r="E42" s="2" t="s">
        <v>19</v>
      </c>
      <c r="F42" s="2">
        <v>110</v>
      </c>
      <c r="G42" s="99" t="s">
        <v>166</v>
      </c>
      <c r="H42" s="3">
        <v>370.33</v>
      </c>
      <c r="I42" s="4">
        <v>186.25</v>
      </c>
      <c r="J42" s="4">
        <f t="shared" si="5"/>
        <v>68973.962499999994</v>
      </c>
      <c r="K42" s="4">
        <f t="shared" si="23"/>
        <v>195.5625</v>
      </c>
      <c r="L42" s="1">
        <f>C42+16</f>
        <v>45945</v>
      </c>
      <c r="M42" s="21">
        <f t="shared" si="2"/>
        <v>72422.660625000004</v>
      </c>
      <c r="N42" s="22" t="s">
        <v>98</v>
      </c>
      <c r="O42" s="2"/>
      <c r="P42" s="7">
        <f>DAYS360(L42,W42)-(1)</f>
        <v>22</v>
      </c>
      <c r="Q42" s="66">
        <f t="shared" ref="Q42" si="24">0.18*P42*M42/365</f>
        <v>785.73626321917811</v>
      </c>
      <c r="R42" s="2"/>
      <c r="S42" s="2">
        <v>19467</v>
      </c>
      <c r="T42" s="2"/>
      <c r="U42" s="2" t="s">
        <v>107</v>
      </c>
      <c r="V42" s="1">
        <v>45994</v>
      </c>
      <c r="W42" s="23">
        <v>45969</v>
      </c>
      <c r="Y42" s="18"/>
      <c r="Z42" s="1"/>
      <c r="AA42" s="1"/>
      <c r="AB42" s="2"/>
      <c r="AC42" s="3"/>
      <c r="AD42" s="4"/>
      <c r="AE42" s="4"/>
      <c r="AF42" s="24"/>
      <c r="AG42" s="2"/>
      <c r="AH42" s="23"/>
    </row>
    <row r="43" spans="1:34" hidden="1">
      <c r="A43" t="s">
        <v>113</v>
      </c>
      <c r="B43" s="18">
        <v>39</v>
      </c>
      <c r="C43" s="1">
        <v>45931</v>
      </c>
      <c r="D43" s="1">
        <v>45931</v>
      </c>
      <c r="E43" s="2" t="s">
        <v>110</v>
      </c>
      <c r="F43" s="2"/>
      <c r="G43" s="2" t="s">
        <v>22</v>
      </c>
      <c r="H43" s="3">
        <v>168.34</v>
      </c>
      <c r="I43" s="4">
        <v>323.56400000000002</v>
      </c>
      <c r="J43" s="4">
        <f t="shared" si="5"/>
        <v>54468.763760000002</v>
      </c>
      <c r="K43" s="4">
        <f t="shared" si="23"/>
        <v>339.74220000000003</v>
      </c>
      <c r="L43" s="1">
        <f>D43+18</f>
        <v>45949</v>
      </c>
      <c r="M43" s="21">
        <f t="shared" si="2"/>
        <v>57192.201948000009</v>
      </c>
      <c r="N43" s="22" t="s">
        <v>99</v>
      </c>
      <c r="O43" s="2"/>
      <c r="P43" s="7">
        <f>DAYS360(L43,W43)-(1)</f>
        <v>18</v>
      </c>
      <c r="Q43" s="66">
        <f t="shared" ref="Q43:Q48" si="25">0.18*P43*M43/365</f>
        <v>507.67872414115072</v>
      </c>
      <c r="R43" s="2"/>
      <c r="S43" s="2">
        <v>1967</v>
      </c>
      <c r="T43" s="2"/>
      <c r="U43" s="2"/>
      <c r="V43" s="2"/>
      <c r="W43" s="23">
        <v>45969</v>
      </c>
      <c r="Y43" s="18"/>
      <c r="Z43" s="1"/>
      <c r="AA43" s="1"/>
      <c r="AB43" s="2"/>
      <c r="AC43" s="3"/>
      <c r="AD43" s="4"/>
      <c r="AE43" s="4"/>
      <c r="AF43" s="24"/>
      <c r="AG43" s="2"/>
      <c r="AH43" s="23"/>
    </row>
    <row r="44" spans="1:34" hidden="1">
      <c r="A44" t="s">
        <v>113</v>
      </c>
      <c r="B44" s="18">
        <v>40</v>
      </c>
      <c r="C44" s="1">
        <v>45932</v>
      </c>
      <c r="D44" s="1">
        <v>45932</v>
      </c>
      <c r="E44" s="2" t="s">
        <v>110</v>
      </c>
      <c r="F44" s="2"/>
      <c r="G44" s="2" t="s">
        <v>22</v>
      </c>
      <c r="H44" s="3">
        <v>336.68</v>
      </c>
      <c r="I44" s="4">
        <v>323.56400000000002</v>
      </c>
      <c r="J44" s="4">
        <f t="shared" si="5"/>
        <v>108937.52752</v>
      </c>
      <c r="K44" s="4">
        <f t="shared" si="23"/>
        <v>339.74220000000003</v>
      </c>
      <c r="L44" s="1">
        <f>D44+18</f>
        <v>45950</v>
      </c>
      <c r="M44" s="21">
        <f t="shared" si="2"/>
        <v>114384.40389600002</v>
      </c>
      <c r="N44" s="22" t="s">
        <v>99</v>
      </c>
      <c r="O44" s="2"/>
      <c r="P44" s="7">
        <f>DAYS360(L44,W44)-(1)</f>
        <v>17</v>
      </c>
      <c r="Q44" s="66">
        <f t="shared" si="25"/>
        <v>958.94870115550702</v>
      </c>
      <c r="R44" s="2"/>
      <c r="S44" s="2">
        <v>1976</v>
      </c>
      <c r="T44" s="2"/>
      <c r="U44" s="2"/>
      <c r="V44" s="2"/>
      <c r="W44" s="23">
        <v>45969</v>
      </c>
      <c r="Y44" s="18"/>
      <c r="Z44" s="1"/>
      <c r="AA44" s="1"/>
      <c r="AB44" s="2"/>
      <c r="AC44" s="3"/>
      <c r="AD44" s="4"/>
      <c r="AE44" s="4"/>
      <c r="AF44" s="24"/>
      <c r="AG44" s="2"/>
      <c r="AH44" s="23"/>
    </row>
    <row r="45" spans="1:34" hidden="1">
      <c r="A45" t="s">
        <v>113</v>
      </c>
      <c r="B45" s="18">
        <v>41</v>
      </c>
      <c r="C45" s="1">
        <v>45936</v>
      </c>
      <c r="D45" s="1">
        <v>45935</v>
      </c>
      <c r="E45" s="2" t="s">
        <v>19</v>
      </c>
      <c r="F45" s="2">
        <v>110</v>
      </c>
      <c r="G45" s="99" t="s">
        <v>166</v>
      </c>
      <c r="H45" s="3">
        <v>387.86</v>
      </c>
      <c r="I45" s="4">
        <v>186.25</v>
      </c>
      <c r="J45" s="4">
        <f t="shared" si="5"/>
        <v>72238.925000000003</v>
      </c>
      <c r="K45" s="4">
        <f t="shared" si="23"/>
        <v>195.5625</v>
      </c>
      <c r="L45" s="1">
        <f>C45+16</f>
        <v>45952</v>
      </c>
      <c r="M45" s="21">
        <f t="shared" si="2"/>
        <v>75850.871249999997</v>
      </c>
      <c r="N45" s="22" t="s">
        <v>98</v>
      </c>
      <c r="O45" s="2"/>
      <c r="P45" s="7">
        <f>DAYS360(L45,W45)-(1)</f>
        <v>15</v>
      </c>
      <c r="Q45" s="66">
        <f t="shared" si="25"/>
        <v>561.08863664383546</v>
      </c>
      <c r="R45" s="2"/>
      <c r="S45" s="2">
        <v>20133</v>
      </c>
      <c r="T45" s="2"/>
      <c r="U45" s="2" t="s">
        <v>107</v>
      </c>
      <c r="V45" s="1">
        <v>45994</v>
      </c>
      <c r="W45" s="23">
        <v>45969</v>
      </c>
      <c r="Y45" s="18"/>
      <c r="Z45" s="1"/>
      <c r="AA45" s="1"/>
      <c r="AB45" s="2"/>
      <c r="AC45" s="3"/>
      <c r="AD45" s="4"/>
      <c r="AE45" s="4"/>
      <c r="AF45" s="24"/>
      <c r="AG45" s="2"/>
      <c r="AH45" s="23"/>
    </row>
    <row r="46" spans="1:34" hidden="1">
      <c r="A46" t="s">
        <v>113</v>
      </c>
      <c r="B46" s="18">
        <v>42</v>
      </c>
      <c r="C46" s="1">
        <v>45936</v>
      </c>
      <c r="D46" s="1">
        <v>45936</v>
      </c>
      <c r="E46" s="2" t="s">
        <v>110</v>
      </c>
      <c r="F46" s="2"/>
      <c r="G46" s="2" t="s">
        <v>22</v>
      </c>
      <c r="H46" s="3">
        <v>350.71</v>
      </c>
      <c r="I46" s="4">
        <v>323.42099999999999</v>
      </c>
      <c r="J46" s="4">
        <f t="shared" si="5"/>
        <v>113426.97890999999</v>
      </c>
      <c r="K46" s="4">
        <f t="shared" si="23"/>
        <v>339.59205000000003</v>
      </c>
      <c r="L46" s="1">
        <f t="shared" ref="L46:L47" si="26">D46+18</f>
        <v>45954</v>
      </c>
      <c r="M46" s="21">
        <f t="shared" si="2"/>
        <v>119098.3278555</v>
      </c>
      <c r="N46" s="22" t="s">
        <v>99</v>
      </c>
      <c r="O46" s="2"/>
      <c r="P46" s="7">
        <f t="shared" ref="P46:P47" si="27">DAYS360(L46,W46)-(1)</f>
        <v>13</v>
      </c>
      <c r="Q46" s="66">
        <f t="shared" si="25"/>
        <v>763.53448542978083</v>
      </c>
      <c r="R46" s="2"/>
      <c r="S46" s="2">
        <v>2007</v>
      </c>
      <c r="T46" s="2"/>
      <c r="U46" s="2"/>
      <c r="V46" s="2"/>
      <c r="W46" s="23">
        <v>45969</v>
      </c>
      <c r="Y46" s="18"/>
      <c r="Z46" s="1"/>
      <c r="AA46" s="1"/>
      <c r="AB46" s="2"/>
      <c r="AC46" s="3"/>
      <c r="AD46" s="4"/>
      <c r="AE46" s="4"/>
      <c r="AF46" s="24"/>
      <c r="AG46" s="2"/>
      <c r="AH46" s="23"/>
    </row>
    <row r="47" spans="1:34" ht="15.75" hidden="1" thickBot="1">
      <c r="A47" t="s">
        <v>113</v>
      </c>
      <c r="B47" s="27">
        <v>43</v>
      </c>
      <c r="C47" s="28">
        <v>45937</v>
      </c>
      <c r="D47" s="28">
        <v>45937</v>
      </c>
      <c r="E47" s="30" t="s">
        <v>110</v>
      </c>
      <c r="F47" s="30"/>
      <c r="G47" s="30" t="s">
        <v>22</v>
      </c>
      <c r="H47" s="73">
        <v>168.34</v>
      </c>
      <c r="I47" s="32">
        <v>323.56400000000002</v>
      </c>
      <c r="J47" s="32">
        <f t="shared" si="5"/>
        <v>54468.763760000002</v>
      </c>
      <c r="K47" s="32">
        <f t="shared" si="23"/>
        <v>339.74220000000003</v>
      </c>
      <c r="L47" s="35">
        <f t="shared" si="26"/>
        <v>45955</v>
      </c>
      <c r="M47" s="81">
        <f t="shared" si="2"/>
        <v>57192.201948000009</v>
      </c>
      <c r="N47" s="80" t="s">
        <v>99</v>
      </c>
      <c r="O47" s="30"/>
      <c r="P47" s="34">
        <f t="shared" si="27"/>
        <v>12</v>
      </c>
      <c r="Q47" s="82">
        <f t="shared" si="25"/>
        <v>338.45248276076723</v>
      </c>
      <c r="R47" s="30"/>
      <c r="S47" s="30">
        <v>2016</v>
      </c>
      <c r="T47" s="30"/>
      <c r="U47" s="30"/>
      <c r="V47" s="30"/>
      <c r="W47" s="35">
        <v>45969</v>
      </c>
      <c r="Y47" s="18"/>
      <c r="Z47" s="1"/>
      <c r="AA47" s="1"/>
      <c r="AB47" s="2"/>
      <c r="AC47" s="3"/>
      <c r="AD47" s="4"/>
      <c r="AE47" s="4"/>
      <c r="AF47" s="24"/>
      <c r="AG47" s="2"/>
      <c r="AH47" s="23"/>
    </row>
    <row r="48" spans="1:34" hidden="1">
      <c r="A48" t="s">
        <v>113</v>
      </c>
      <c r="B48" s="18">
        <v>44</v>
      </c>
      <c r="C48" s="1">
        <v>45963</v>
      </c>
      <c r="D48" s="1">
        <v>45964</v>
      </c>
      <c r="E48" s="2" t="s">
        <v>91</v>
      </c>
      <c r="F48" s="2"/>
      <c r="G48" s="2" t="s">
        <v>85</v>
      </c>
      <c r="H48" s="3">
        <v>255.64</v>
      </c>
      <c r="I48" s="4">
        <v>295</v>
      </c>
      <c r="J48" s="4">
        <f t="shared" si="5"/>
        <v>75413.8</v>
      </c>
      <c r="K48" s="4">
        <f t="shared" si="23"/>
        <v>309.75</v>
      </c>
      <c r="L48" s="1">
        <f>D48+18</f>
        <v>45982</v>
      </c>
      <c r="M48" s="21">
        <f t="shared" si="2"/>
        <v>79184.489999999991</v>
      </c>
      <c r="N48" s="22" t="s">
        <v>97</v>
      </c>
      <c r="O48" s="2"/>
      <c r="P48" s="7">
        <f>DAYS360(L48,W48)-(1)</f>
        <v>6</v>
      </c>
      <c r="Q48" s="66">
        <f t="shared" si="25"/>
        <v>234.29931287671229</v>
      </c>
      <c r="R48" s="2"/>
      <c r="S48" s="2">
        <v>32553</v>
      </c>
      <c r="T48" s="1">
        <v>46069</v>
      </c>
      <c r="U48" s="2"/>
      <c r="V48" s="2"/>
      <c r="W48" s="23">
        <v>45989</v>
      </c>
      <c r="Y48" s="18"/>
      <c r="Z48" s="1"/>
      <c r="AA48" s="1"/>
      <c r="AB48" s="2"/>
      <c r="AC48" s="3"/>
      <c r="AD48" s="4"/>
      <c r="AE48" s="4"/>
      <c r="AF48" s="24"/>
      <c r="AG48" s="2"/>
      <c r="AH48" s="23"/>
    </row>
    <row r="49" spans="1:34" hidden="1">
      <c r="A49" t="s">
        <v>113</v>
      </c>
      <c r="B49" s="18">
        <v>45</v>
      </c>
      <c r="C49" s="1">
        <v>45968</v>
      </c>
      <c r="D49" s="1">
        <v>45967</v>
      </c>
      <c r="E49" s="2" t="s">
        <v>19</v>
      </c>
      <c r="F49" s="2">
        <v>110</v>
      </c>
      <c r="G49" s="99" t="s">
        <v>166</v>
      </c>
      <c r="H49" s="3">
        <v>352.84</v>
      </c>
      <c r="I49" s="4">
        <v>187.2</v>
      </c>
      <c r="J49" s="4">
        <f t="shared" si="5"/>
        <v>66051.647999999986</v>
      </c>
      <c r="K49" s="4">
        <f t="shared" si="23"/>
        <v>196.56</v>
      </c>
      <c r="L49" s="1">
        <f t="shared" ref="L49:L52" si="28">C49+16</f>
        <v>45984</v>
      </c>
      <c r="M49" s="21">
        <f t="shared" si="2"/>
        <v>69354.2304</v>
      </c>
      <c r="N49" s="22" t="s">
        <v>98</v>
      </c>
      <c r="O49" s="2"/>
      <c r="P49" s="7">
        <f t="shared" ref="P49:P53" si="29">DAYS360(L49,W49)-(1)</f>
        <v>4</v>
      </c>
      <c r="Q49" s="2">
        <v>0</v>
      </c>
      <c r="R49" s="2"/>
      <c r="S49" s="2">
        <v>22844</v>
      </c>
      <c r="T49" s="2"/>
      <c r="U49" s="2" t="s">
        <v>107</v>
      </c>
      <c r="V49" s="1">
        <v>45994</v>
      </c>
      <c r="W49" s="23">
        <v>45989</v>
      </c>
      <c r="Y49" s="18"/>
      <c r="Z49" s="1"/>
      <c r="AA49" s="1"/>
      <c r="AB49" s="2"/>
      <c r="AC49" s="3"/>
      <c r="AD49" s="4"/>
      <c r="AE49" s="4"/>
      <c r="AF49" s="24"/>
      <c r="AG49" s="2"/>
      <c r="AH49" s="23"/>
    </row>
    <row r="50" spans="1:34" hidden="1">
      <c r="A50" t="s">
        <v>113</v>
      </c>
      <c r="B50" s="18">
        <v>46</v>
      </c>
      <c r="C50" s="1">
        <v>45969</v>
      </c>
      <c r="D50" s="1">
        <v>45968</v>
      </c>
      <c r="E50" s="2" t="s">
        <v>19</v>
      </c>
      <c r="F50" s="2">
        <v>110</v>
      </c>
      <c r="G50" s="99" t="s">
        <v>166</v>
      </c>
      <c r="H50" s="3">
        <v>740.42</v>
      </c>
      <c r="I50" s="4">
        <v>186.25</v>
      </c>
      <c r="J50" s="4">
        <f t="shared" si="5"/>
        <v>137903.22500000001</v>
      </c>
      <c r="K50" s="4">
        <f t="shared" si="23"/>
        <v>195.5625</v>
      </c>
      <c r="L50" s="1">
        <f t="shared" si="28"/>
        <v>45985</v>
      </c>
      <c r="M50" s="21">
        <f t="shared" si="2"/>
        <v>144798.38624999998</v>
      </c>
      <c r="N50" s="22" t="s">
        <v>98</v>
      </c>
      <c r="O50" s="2"/>
      <c r="P50" s="7">
        <f t="shared" si="29"/>
        <v>3</v>
      </c>
      <c r="Q50" s="2">
        <v>0</v>
      </c>
      <c r="R50" s="2"/>
      <c r="S50" s="2">
        <v>22980</v>
      </c>
      <c r="T50" s="2"/>
      <c r="U50" s="2" t="s">
        <v>107</v>
      </c>
      <c r="V50" s="1">
        <v>45994</v>
      </c>
      <c r="W50" s="23">
        <v>45989</v>
      </c>
      <c r="Y50" s="18"/>
      <c r="Z50" s="1"/>
      <c r="AA50" s="1"/>
      <c r="AB50" s="2"/>
      <c r="AC50" s="3"/>
      <c r="AD50" s="4"/>
      <c r="AE50" s="4"/>
      <c r="AF50" s="24"/>
      <c r="AG50" s="2"/>
      <c r="AH50" s="23"/>
    </row>
    <row r="51" spans="1:34" hidden="1">
      <c r="A51" t="s">
        <v>113</v>
      </c>
      <c r="B51" s="18">
        <v>47</v>
      </c>
      <c r="C51" s="1">
        <v>45971</v>
      </c>
      <c r="D51" s="1">
        <v>45970</v>
      </c>
      <c r="E51" s="2" t="s">
        <v>19</v>
      </c>
      <c r="F51" s="2">
        <v>110</v>
      </c>
      <c r="G51" s="99" t="s">
        <v>166</v>
      </c>
      <c r="H51" s="3">
        <v>774.23</v>
      </c>
      <c r="I51" s="4">
        <v>186.25</v>
      </c>
      <c r="J51" s="4">
        <f t="shared" si="5"/>
        <v>144200.33749999999</v>
      </c>
      <c r="K51" s="4">
        <f t="shared" si="23"/>
        <v>195.5625</v>
      </c>
      <c r="L51" s="1">
        <f t="shared" si="28"/>
        <v>45987</v>
      </c>
      <c r="M51" s="21">
        <f t="shared" si="2"/>
        <v>151410.354375</v>
      </c>
      <c r="N51" s="22" t="s">
        <v>98</v>
      </c>
      <c r="O51" s="2"/>
      <c r="P51" s="7">
        <f t="shared" si="29"/>
        <v>1</v>
      </c>
      <c r="Q51" s="2">
        <v>0</v>
      </c>
      <c r="R51" s="2"/>
      <c r="S51" s="2">
        <v>23130</v>
      </c>
      <c r="T51" s="2"/>
      <c r="U51" s="2" t="s">
        <v>107</v>
      </c>
      <c r="V51" s="1">
        <v>45994</v>
      </c>
      <c r="W51" s="23">
        <v>45989</v>
      </c>
      <c r="Y51" s="18"/>
      <c r="Z51" s="1"/>
      <c r="AA51" s="1"/>
      <c r="AB51" s="2"/>
      <c r="AC51" s="3"/>
      <c r="AD51" s="4"/>
      <c r="AE51" s="4"/>
      <c r="AF51" s="24"/>
      <c r="AG51" s="2"/>
      <c r="AH51" s="23"/>
    </row>
    <row r="52" spans="1:34" hidden="1">
      <c r="A52" t="s">
        <v>113</v>
      </c>
      <c r="B52" s="18">
        <v>48</v>
      </c>
      <c r="C52" s="1">
        <v>45971</v>
      </c>
      <c r="D52" s="1">
        <v>45970</v>
      </c>
      <c r="E52" s="2" t="s">
        <v>19</v>
      </c>
      <c r="F52" s="2">
        <v>5148</v>
      </c>
      <c r="G52" s="2" t="s">
        <v>20</v>
      </c>
      <c r="H52" s="3">
        <v>385.56</v>
      </c>
      <c r="I52" s="4">
        <v>164.25</v>
      </c>
      <c r="J52" s="4">
        <f t="shared" si="5"/>
        <v>63328.23</v>
      </c>
      <c r="K52" s="4">
        <f t="shared" si="23"/>
        <v>172.46250000000001</v>
      </c>
      <c r="L52" s="1">
        <f t="shared" si="28"/>
        <v>45987</v>
      </c>
      <c r="M52" s="21">
        <f t="shared" si="2"/>
        <v>66494.641499999998</v>
      </c>
      <c r="N52" s="22" t="s">
        <v>98</v>
      </c>
      <c r="O52" s="2"/>
      <c r="P52" s="7">
        <f t="shared" si="29"/>
        <v>1</v>
      </c>
      <c r="Q52" s="66">
        <v>0</v>
      </c>
      <c r="R52" s="2"/>
      <c r="S52" s="2">
        <v>23148</v>
      </c>
      <c r="T52" s="2"/>
      <c r="U52" s="2" t="s">
        <v>107</v>
      </c>
      <c r="V52" s="1">
        <v>45994</v>
      </c>
      <c r="W52" s="23">
        <v>45989</v>
      </c>
      <c r="Y52" s="18"/>
      <c r="Z52" s="1"/>
      <c r="AA52" s="1"/>
      <c r="AB52" s="2"/>
      <c r="AC52" s="3"/>
      <c r="AD52" s="4"/>
      <c r="AE52" s="4"/>
      <c r="AF52" s="24"/>
      <c r="AG52" s="2"/>
      <c r="AH52" s="23"/>
    </row>
    <row r="53" spans="1:34">
      <c r="A53" t="s">
        <v>113</v>
      </c>
      <c r="B53" s="18">
        <v>49</v>
      </c>
      <c r="C53" s="1">
        <v>45970</v>
      </c>
      <c r="D53" s="1">
        <v>45971</v>
      </c>
      <c r="E53" s="2" t="s">
        <v>26</v>
      </c>
      <c r="F53" s="2"/>
      <c r="G53" s="99" t="s">
        <v>167</v>
      </c>
      <c r="H53" s="3">
        <v>1015.3</v>
      </c>
      <c r="I53" s="4">
        <v>266.66000000000003</v>
      </c>
      <c r="J53" s="4">
        <f t="shared" si="5"/>
        <v>270739.89799999999</v>
      </c>
      <c r="K53" s="4">
        <f t="shared" si="23"/>
        <v>279.99300000000005</v>
      </c>
      <c r="L53" s="1">
        <f t="shared" ref="L53" si="30">D53+18</f>
        <v>45989</v>
      </c>
      <c r="M53" s="21">
        <f t="shared" si="2"/>
        <v>284276.89290000004</v>
      </c>
      <c r="N53" s="22" t="s">
        <v>97</v>
      </c>
      <c r="O53" s="2"/>
      <c r="P53" s="7">
        <f t="shared" si="29"/>
        <v>2</v>
      </c>
      <c r="Q53" s="2"/>
      <c r="R53" s="2"/>
      <c r="S53" s="2">
        <v>20931</v>
      </c>
      <c r="T53" s="2"/>
      <c r="U53" s="2"/>
      <c r="V53" s="2"/>
      <c r="W53" s="23">
        <v>45992</v>
      </c>
      <c r="Y53" s="18"/>
      <c r="Z53" s="1"/>
      <c r="AA53" s="1"/>
      <c r="AB53" s="2"/>
      <c r="AC53" s="3"/>
      <c r="AD53" s="4"/>
      <c r="AE53" s="4"/>
      <c r="AF53" s="24"/>
      <c r="AG53" s="2"/>
      <c r="AH53" s="23"/>
    </row>
    <row r="54" spans="1:34" hidden="1">
      <c r="A54" t="s">
        <v>113</v>
      </c>
      <c r="B54" s="18">
        <v>50</v>
      </c>
      <c r="C54" s="1">
        <v>45973</v>
      </c>
      <c r="D54" s="1">
        <v>45974</v>
      </c>
      <c r="E54" s="2" t="s">
        <v>91</v>
      </c>
      <c r="F54" s="2"/>
      <c r="G54" s="2" t="s">
        <v>85</v>
      </c>
      <c r="H54" s="3">
        <v>256</v>
      </c>
      <c r="I54" s="4">
        <v>294</v>
      </c>
      <c r="J54" s="4">
        <f t="shared" ref="J54:J86" si="31">H54*I54</f>
        <v>75264</v>
      </c>
      <c r="K54" s="4">
        <f t="shared" ref="K54:K102" si="32">I54*1.05</f>
        <v>308.7</v>
      </c>
      <c r="L54" s="1">
        <f>D54+18</f>
        <v>45992</v>
      </c>
      <c r="M54" s="21">
        <f t="shared" ref="M54:M102" si="33">H54*K54</f>
        <v>79027.199999999997</v>
      </c>
      <c r="N54" s="22" t="s">
        <v>97</v>
      </c>
      <c r="O54" s="2"/>
      <c r="P54" s="7">
        <f>DAYS360(L54,W54)-(1)</f>
        <v>3</v>
      </c>
      <c r="Q54" s="66"/>
      <c r="R54" s="2"/>
      <c r="S54" s="2">
        <v>33982</v>
      </c>
      <c r="T54" s="1">
        <v>46069</v>
      </c>
      <c r="U54" s="2"/>
      <c r="V54" s="2"/>
      <c r="W54" s="23">
        <v>45996</v>
      </c>
      <c r="Y54" s="18"/>
      <c r="Z54" s="1"/>
      <c r="AA54" s="1"/>
      <c r="AB54" s="2"/>
      <c r="AC54" s="3"/>
      <c r="AD54" s="4"/>
      <c r="AE54" s="4"/>
      <c r="AF54" s="24"/>
      <c r="AG54" s="2"/>
      <c r="AH54" s="23"/>
    </row>
    <row r="55" spans="1:34" hidden="1">
      <c r="A55" t="s">
        <v>113</v>
      </c>
      <c r="B55" s="18">
        <v>51</v>
      </c>
      <c r="C55" s="1">
        <v>45974</v>
      </c>
      <c r="D55" s="1">
        <v>45973</v>
      </c>
      <c r="E55" s="2" t="s">
        <v>19</v>
      </c>
      <c r="F55" s="2">
        <v>5148</v>
      </c>
      <c r="G55" s="2" t="s">
        <v>20</v>
      </c>
      <c r="H55" s="3">
        <v>352.08</v>
      </c>
      <c r="I55" s="4">
        <v>165.2</v>
      </c>
      <c r="J55" s="4">
        <f t="shared" si="31"/>
        <v>58163.615999999995</v>
      </c>
      <c r="K55" s="4">
        <f t="shared" si="32"/>
        <v>173.46</v>
      </c>
      <c r="L55" s="1">
        <f t="shared" ref="L55:L102" si="34">D55+18</f>
        <v>45991</v>
      </c>
      <c r="M55" s="21">
        <f t="shared" si="33"/>
        <v>61071.796799999996</v>
      </c>
      <c r="N55" s="22" t="s">
        <v>98</v>
      </c>
      <c r="O55" s="2"/>
      <c r="P55" s="7">
        <f t="shared" ref="P55:P58" si="35">DAYS360(L55,W55)-(1)</f>
        <v>73</v>
      </c>
      <c r="Q55" s="66">
        <f t="shared" ref="Q55:Q58" si="36">0.18*P55*M55/365</f>
        <v>2198.5846847999996</v>
      </c>
      <c r="R55" s="2"/>
      <c r="S55" s="2">
        <v>23461</v>
      </c>
      <c r="T55" s="2"/>
      <c r="U55" s="2" t="s">
        <v>107</v>
      </c>
      <c r="V55" s="1">
        <v>46127</v>
      </c>
      <c r="W55" s="23">
        <v>46067</v>
      </c>
      <c r="Y55" s="18"/>
      <c r="Z55" s="1"/>
      <c r="AA55" s="1"/>
      <c r="AB55" s="2"/>
      <c r="AC55" s="3"/>
      <c r="AD55" s="4"/>
      <c r="AE55" s="4"/>
      <c r="AF55" s="24"/>
      <c r="AG55" s="2"/>
      <c r="AH55" s="23"/>
    </row>
    <row r="56" spans="1:34" hidden="1">
      <c r="A56" t="s">
        <v>113</v>
      </c>
      <c r="B56" s="18">
        <v>52</v>
      </c>
      <c r="C56" s="1">
        <v>45977</v>
      </c>
      <c r="D56" s="1">
        <v>45974</v>
      </c>
      <c r="E56" s="2" t="s">
        <v>19</v>
      </c>
      <c r="F56" s="2">
        <v>5148</v>
      </c>
      <c r="G56" s="2" t="s">
        <v>20</v>
      </c>
      <c r="H56" s="3">
        <v>359.76</v>
      </c>
      <c r="I56" s="4">
        <v>164.25</v>
      </c>
      <c r="J56" s="4">
        <f t="shared" si="31"/>
        <v>59090.58</v>
      </c>
      <c r="K56" s="4">
        <f t="shared" si="32"/>
        <v>172.46250000000001</v>
      </c>
      <c r="L56" s="1">
        <f t="shared" si="34"/>
        <v>45992</v>
      </c>
      <c r="M56" s="21">
        <f t="shared" si="33"/>
        <v>62045.109000000004</v>
      </c>
      <c r="N56" s="22" t="s">
        <v>98</v>
      </c>
      <c r="O56" s="2"/>
      <c r="P56" s="7">
        <f t="shared" si="35"/>
        <v>72</v>
      </c>
      <c r="Q56" s="66">
        <f t="shared" si="36"/>
        <v>2203.0263359999999</v>
      </c>
      <c r="R56" s="2"/>
      <c r="S56" s="2">
        <v>23560</v>
      </c>
      <c r="T56" s="2"/>
      <c r="U56" s="2" t="s">
        <v>107</v>
      </c>
      <c r="V56" s="1">
        <v>46127</v>
      </c>
      <c r="W56" s="23">
        <v>46067</v>
      </c>
      <c r="Y56" s="18"/>
      <c r="Z56" s="1"/>
      <c r="AA56" s="1"/>
      <c r="AB56" s="2"/>
      <c r="AC56" s="3"/>
      <c r="AD56" s="4"/>
      <c r="AE56" s="4"/>
      <c r="AF56" s="24"/>
      <c r="AG56" s="2"/>
      <c r="AH56" s="23"/>
    </row>
    <row r="57" spans="1:34" hidden="1">
      <c r="A57" t="s">
        <v>113</v>
      </c>
      <c r="B57" s="18">
        <v>53</v>
      </c>
      <c r="C57" s="1">
        <v>45673</v>
      </c>
      <c r="D57" s="1">
        <v>45975</v>
      </c>
      <c r="E57" s="2" t="s">
        <v>19</v>
      </c>
      <c r="F57" s="2">
        <v>5148</v>
      </c>
      <c r="G57" s="2" t="s">
        <v>20</v>
      </c>
      <c r="H57" s="3">
        <v>386.13</v>
      </c>
      <c r="I57" s="4">
        <v>165.2</v>
      </c>
      <c r="J57" s="4">
        <f t="shared" si="31"/>
        <v>63788.675999999992</v>
      </c>
      <c r="K57" s="4">
        <f t="shared" si="32"/>
        <v>173.46</v>
      </c>
      <c r="L57" s="1">
        <f t="shared" si="34"/>
        <v>45993</v>
      </c>
      <c r="M57" s="21">
        <f t="shared" si="33"/>
        <v>66978.109800000006</v>
      </c>
      <c r="N57" s="22" t="s">
        <v>98</v>
      </c>
      <c r="O57" s="2"/>
      <c r="P57" s="7">
        <f t="shared" si="35"/>
        <v>71</v>
      </c>
      <c r="Q57" s="66">
        <f t="shared" si="36"/>
        <v>2345.1513513534246</v>
      </c>
      <c r="R57" s="2"/>
      <c r="S57" s="2">
        <v>23653</v>
      </c>
      <c r="T57" s="2"/>
      <c r="U57" s="2" t="s">
        <v>107</v>
      </c>
      <c r="V57" s="1">
        <v>46127</v>
      </c>
      <c r="W57" s="23">
        <v>46067</v>
      </c>
      <c r="Y57" s="18"/>
      <c r="Z57" s="1"/>
      <c r="AA57" s="1"/>
      <c r="AB57" s="2"/>
      <c r="AC57" s="3"/>
      <c r="AD57" s="4"/>
      <c r="AE57" s="4"/>
      <c r="AF57" s="24"/>
      <c r="AG57" s="2"/>
      <c r="AH57" s="23"/>
    </row>
    <row r="58" spans="1:34" hidden="1">
      <c r="A58" t="s">
        <v>113</v>
      </c>
      <c r="B58" s="18">
        <v>54</v>
      </c>
      <c r="C58" s="1">
        <v>45982</v>
      </c>
      <c r="D58" s="1">
        <v>45980</v>
      </c>
      <c r="E58" s="2" t="s">
        <v>19</v>
      </c>
      <c r="F58" s="2" t="s">
        <v>168</v>
      </c>
      <c r="G58" s="99" t="s">
        <v>166</v>
      </c>
      <c r="H58" s="3">
        <v>411.34</v>
      </c>
      <c r="I58" s="4">
        <v>183.39</v>
      </c>
      <c r="J58" s="4">
        <f t="shared" si="31"/>
        <v>75435.642599999992</v>
      </c>
      <c r="K58" s="4">
        <f t="shared" si="32"/>
        <v>192.55949999999999</v>
      </c>
      <c r="L58" s="1">
        <f t="shared" si="34"/>
        <v>45998</v>
      </c>
      <c r="M58" s="21">
        <f t="shared" si="33"/>
        <v>79207.424729999984</v>
      </c>
      <c r="N58" s="22" t="s">
        <v>98</v>
      </c>
      <c r="O58" s="2"/>
      <c r="P58" s="7">
        <f t="shared" si="35"/>
        <v>70</v>
      </c>
      <c r="Q58" s="66">
        <f t="shared" si="36"/>
        <v>2734.2837030082187</v>
      </c>
      <c r="R58" s="2"/>
      <c r="S58" s="2">
        <v>24092</v>
      </c>
      <c r="T58" s="2"/>
      <c r="U58" s="2" t="s">
        <v>107</v>
      </c>
      <c r="V58" s="1">
        <v>46127</v>
      </c>
      <c r="W58" s="23">
        <v>46071</v>
      </c>
      <c r="Y58" s="18"/>
      <c r="Z58" s="1"/>
      <c r="AA58" s="1"/>
      <c r="AB58" s="2"/>
      <c r="AC58" s="3"/>
      <c r="AD58" s="4"/>
      <c r="AE58" s="4"/>
      <c r="AF58" s="24"/>
      <c r="AG58" s="2"/>
      <c r="AH58" s="23"/>
    </row>
    <row r="59" spans="1:34" hidden="1">
      <c r="A59" t="s">
        <v>113</v>
      </c>
      <c r="B59" s="18">
        <v>55</v>
      </c>
      <c r="C59" s="1">
        <v>45979</v>
      </c>
      <c r="D59" s="1">
        <v>45980</v>
      </c>
      <c r="E59" s="2" t="s">
        <v>91</v>
      </c>
      <c r="F59" s="2"/>
      <c r="G59" s="2" t="s">
        <v>85</v>
      </c>
      <c r="H59" s="3">
        <v>265.74</v>
      </c>
      <c r="I59" s="4">
        <v>294</v>
      </c>
      <c r="J59" s="4">
        <f t="shared" si="31"/>
        <v>78127.56</v>
      </c>
      <c r="K59" s="4">
        <f t="shared" si="32"/>
        <v>308.7</v>
      </c>
      <c r="L59" s="1">
        <f t="shared" si="34"/>
        <v>45998</v>
      </c>
      <c r="M59" s="21">
        <f t="shared" si="33"/>
        <v>82033.937999999995</v>
      </c>
      <c r="N59" s="22" t="s">
        <v>97</v>
      </c>
      <c r="O59" s="2"/>
      <c r="P59" s="7">
        <f t="shared" ref="P59:P62" si="37">DAYS360(L59,W59)-(1)</f>
        <v>-3</v>
      </c>
      <c r="Q59" s="66"/>
      <c r="R59" s="2"/>
      <c r="S59" s="2">
        <v>34806</v>
      </c>
      <c r="T59" s="1">
        <v>46069</v>
      </c>
      <c r="U59" s="2"/>
      <c r="V59" s="2"/>
      <c r="W59" s="23">
        <v>45996</v>
      </c>
      <c r="Y59" s="18"/>
      <c r="Z59" s="1"/>
      <c r="AA59" s="1"/>
      <c r="AB59" s="2"/>
      <c r="AC59" s="3"/>
      <c r="AD59" s="4"/>
      <c r="AE59" s="4"/>
      <c r="AF59" s="24"/>
      <c r="AG59" s="2"/>
      <c r="AH59" s="23"/>
    </row>
    <row r="60" spans="1:34" hidden="1">
      <c r="A60" t="s">
        <v>113</v>
      </c>
      <c r="B60" s="18">
        <v>56</v>
      </c>
      <c r="C60" s="1">
        <v>45986</v>
      </c>
      <c r="D60" s="1">
        <v>45985</v>
      </c>
      <c r="E60" s="2" t="s">
        <v>91</v>
      </c>
      <c r="F60" s="2">
        <v>110</v>
      </c>
      <c r="G60" s="99" t="s">
        <v>166</v>
      </c>
      <c r="H60" s="3">
        <v>387.97</v>
      </c>
      <c r="I60" s="4">
        <v>185.71430000000001</v>
      </c>
      <c r="J60" s="4">
        <f t="shared" si="31"/>
        <v>72051.576971000002</v>
      </c>
      <c r="K60" s="4">
        <f t="shared" si="32"/>
        <v>195.00001500000002</v>
      </c>
      <c r="L60" s="1">
        <f t="shared" si="34"/>
        <v>46003</v>
      </c>
      <c r="M60" s="21">
        <f t="shared" si="33"/>
        <v>75654.155819550011</v>
      </c>
      <c r="N60" s="22" t="s">
        <v>97</v>
      </c>
      <c r="O60" s="2"/>
      <c r="P60" s="7">
        <f t="shared" si="37"/>
        <v>-8</v>
      </c>
      <c r="Q60" s="66"/>
      <c r="R60" s="2"/>
      <c r="S60" s="2" t="s">
        <v>134</v>
      </c>
      <c r="T60" s="1">
        <v>46069</v>
      </c>
      <c r="U60" s="2"/>
      <c r="V60" s="2"/>
      <c r="W60" s="23">
        <v>45996</v>
      </c>
      <c r="Y60" s="18"/>
      <c r="Z60" s="1"/>
      <c r="AA60" s="1"/>
      <c r="AB60" s="2"/>
      <c r="AC60" s="3"/>
      <c r="AD60" s="4"/>
      <c r="AE60" s="4"/>
      <c r="AF60" s="24"/>
      <c r="AG60" s="2"/>
      <c r="AH60" s="23"/>
    </row>
    <row r="61" spans="1:34" hidden="1">
      <c r="A61" t="s">
        <v>113</v>
      </c>
      <c r="B61" s="18">
        <v>57</v>
      </c>
      <c r="C61" s="1">
        <v>45988</v>
      </c>
      <c r="D61" s="1">
        <v>45987</v>
      </c>
      <c r="E61" s="2" t="s">
        <v>19</v>
      </c>
      <c r="F61" s="2">
        <v>110</v>
      </c>
      <c r="G61" s="99" t="s">
        <v>166</v>
      </c>
      <c r="H61" s="3">
        <v>382.26</v>
      </c>
      <c r="I61" s="4">
        <v>187.2</v>
      </c>
      <c r="J61" s="4">
        <f t="shared" si="31"/>
        <v>71559.072</v>
      </c>
      <c r="K61" s="4">
        <f t="shared" si="32"/>
        <v>196.56</v>
      </c>
      <c r="L61" s="1">
        <f t="shared" si="34"/>
        <v>46005</v>
      </c>
      <c r="M61" s="21">
        <f t="shared" si="33"/>
        <v>75137.025599999994</v>
      </c>
      <c r="N61" s="22" t="s">
        <v>98</v>
      </c>
      <c r="O61" s="2"/>
      <c r="P61" s="7">
        <f t="shared" si="37"/>
        <v>63</v>
      </c>
      <c r="Q61" s="66">
        <f t="shared" ref="Q61:Q62" si="38">0.18*P61*M61/365</f>
        <v>2334.3941652164381</v>
      </c>
      <c r="R61" s="2"/>
      <c r="S61" s="2">
        <v>24690</v>
      </c>
      <c r="T61" s="2"/>
      <c r="U61" s="2" t="s">
        <v>107</v>
      </c>
      <c r="V61" s="1">
        <v>46127</v>
      </c>
      <c r="W61" s="23">
        <v>46071</v>
      </c>
      <c r="Y61" s="18"/>
      <c r="Z61" s="1"/>
      <c r="AA61" s="1"/>
      <c r="AB61" s="2"/>
      <c r="AC61" s="3"/>
      <c r="AD61" s="4"/>
      <c r="AE61" s="4"/>
      <c r="AF61" s="24"/>
      <c r="AG61" s="2"/>
      <c r="AH61" s="23"/>
    </row>
    <row r="62" spans="1:34" hidden="1">
      <c r="A62" t="s">
        <v>113</v>
      </c>
      <c r="B62" s="18">
        <v>58</v>
      </c>
      <c r="C62" s="1">
        <v>45989</v>
      </c>
      <c r="D62" s="1">
        <v>45988</v>
      </c>
      <c r="E62" s="2" t="s">
        <v>19</v>
      </c>
      <c r="F62" s="2">
        <v>110</v>
      </c>
      <c r="G62" s="99" t="s">
        <v>166</v>
      </c>
      <c r="H62" s="3">
        <v>326.06</v>
      </c>
      <c r="I62" s="4">
        <v>186.25</v>
      </c>
      <c r="J62" s="4">
        <f t="shared" si="31"/>
        <v>60728.675000000003</v>
      </c>
      <c r="K62" s="4">
        <f t="shared" si="32"/>
        <v>195.5625</v>
      </c>
      <c r="L62" s="1">
        <f t="shared" si="34"/>
        <v>46006</v>
      </c>
      <c r="M62" s="21">
        <f t="shared" si="33"/>
        <v>63765.108749999999</v>
      </c>
      <c r="N62" s="22" t="s">
        <v>98</v>
      </c>
      <c r="O62" s="2"/>
      <c r="P62" s="7">
        <f t="shared" si="37"/>
        <v>62</v>
      </c>
      <c r="Q62" s="66">
        <f t="shared" si="38"/>
        <v>1949.6400373972601</v>
      </c>
      <c r="R62" s="2"/>
      <c r="S62" s="2">
        <v>24802</v>
      </c>
      <c r="T62" s="2"/>
      <c r="U62" s="2" t="s">
        <v>107</v>
      </c>
      <c r="V62" s="1">
        <v>46127</v>
      </c>
      <c r="W62" s="23">
        <v>46071</v>
      </c>
      <c r="Y62" s="18"/>
      <c r="Z62" s="1"/>
      <c r="AA62" s="1"/>
      <c r="AB62" s="2"/>
      <c r="AC62" s="3"/>
      <c r="AD62" s="4"/>
      <c r="AE62" s="4"/>
      <c r="AF62" s="24"/>
      <c r="AG62" s="2"/>
      <c r="AH62" s="23"/>
    </row>
    <row r="63" spans="1:34" hidden="1">
      <c r="A63" s="85" t="s">
        <v>113</v>
      </c>
      <c r="B63" s="86">
        <v>59</v>
      </c>
      <c r="C63" s="87">
        <v>45989</v>
      </c>
      <c r="D63" s="87">
        <v>45988</v>
      </c>
      <c r="E63" s="89" t="s">
        <v>91</v>
      </c>
      <c r="F63" s="89">
        <v>5148</v>
      </c>
      <c r="G63" s="89" t="s">
        <v>20</v>
      </c>
      <c r="H63" s="90">
        <v>1127.24</v>
      </c>
      <c r="I63" s="91">
        <v>154.28569999999999</v>
      </c>
      <c r="J63" s="91">
        <f t="shared" si="31"/>
        <v>173917.012468</v>
      </c>
      <c r="K63" s="91">
        <f t="shared" si="32"/>
        <v>161.99998500000001</v>
      </c>
      <c r="L63" s="87">
        <f t="shared" si="34"/>
        <v>46006</v>
      </c>
      <c r="M63" s="92">
        <f t="shared" si="33"/>
        <v>182612.86309140001</v>
      </c>
      <c r="N63" s="93" t="s">
        <v>99</v>
      </c>
      <c r="O63" s="89"/>
      <c r="P63" s="7">
        <f>DAYS360(L63,W63)-(1)</f>
        <v>30</v>
      </c>
      <c r="Q63" s="66">
        <f t="shared" ref="Q63:Q64" si="39">0.18*P63*M63/365</f>
        <v>2701.6697553248218</v>
      </c>
      <c r="R63" s="89"/>
      <c r="S63" s="89" t="s">
        <v>135</v>
      </c>
      <c r="T63" s="1">
        <v>46069</v>
      </c>
      <c r="U63" s="89"/>
      <c r="V63" s="89"/>
      <c r="W63" s="95">
        <v>46038</v>
      </c>
      <c r="Y63" s="18"/>
      <c r="Z63" s="1"/>
      <c r="AA63" s="1"/>
      <c r="AB63" s="2"/>
      <c r="AC63" s="3"/>
      <c r="AD63" s="4"/>
      <c r="AE63" s="4"/>
      <c r="AF63" s="24"/>
      <c r="AG63" s="2"/>
      <c r="AH63" s="23"/>
    </row>
    <row r="64" spans="1:34">
      <c r="A64" t="s">
        <v>113</v>
      </c>
      <c r="B64" s="18">
        <v>60</v>
      </c>
      <c r="C64" s="1">
        <v>45993</v>
      </c>
      <c r="D64" s="1">
        <v>45993</v>
      </c>
      <c r="E64" s="2" t="s">
        <v>26</v>
      </c>
      <c r="F64" s="2" t="s">
        <v>29</v>
      </c>
      <c r="G64" s="99" t="s">
        <v>167</v>
      </c>
      <c r="H64" s="3">
        <v>502.32</v>
      </c>
      <c r="I64" s="4">
        <v>264.76190000000003</v>
      </c>
      <c r="J64" s="4">
        <f t="shared" si="31"/>
        <v>132995.19760800002</v>
      </c>
      <c r="K64" s="4">
        <f t="shared" si="32"/>
        <v>277.99999500000001</v>
      </c>
      <c r="L64" s="1">
        <f t="shared" si="34"/>
        <v>46011</v>
      </c>
      <c r="M64" s="21">
        <f t="shared" si="33"/>
        <v>139644.95748840002</v>
      </c>
      <c r="N64" s="22" t="s">
        <v>99</v>
      </c>
      <c r="O64" s="2"/>
      <c r="P64" s="7">
        <f t="shared" ref="P64:P65" si="40">DAYS360(L64,W64)-(1)</f>
        <v>75</v>
      </c>
      <c r="Q64" s="66">
        <f t="shared" si="39"/>
        <v>5164.9504824476717</v>
      </c>
      <c r="R64" s="2"/>
      <c r="S64" s="2">
        <v>22819</v>
      </c>
      <c r="T64" s="2"/>
      <c r="U64" s="2"/>
      <c r="V64" s="2"/>
      <c r="W64" s="23">
        <v>46087</v>
      </c>
      <c r="Y64" s="18"/>
      <c r="Z64" s="1"/>
      <c r="AA64" s="1"/>
      <c r="AB64" s="2"/>
      <c r="AC64" s="3"/>
      <c r="AD64" s="4"/>
      <c r="AE64" s="4"/>
      <c r="AF64" s="24"/>
      <c r="AG64" s="2"/>
      <c r="AH64" s="23"/>
    </row>
    <row r="65" spans="1:34" hidden="1">
      <c r="A65" t="s">
        <v>113</v>
      </c>
      <c r="B65" s="18">
        <v>61</v>
      </c>
      <c r="C65" s="1">
        <v>45994</v>
      </c>
      <c r="D65" s="1">
        <v>45994</v>
      </c>
      <c r="E65" s="2" t="s">
        <v>147</v>
      </c>
      <c r="F65" s="2" t="s">
        <v>148</v>
      </c>
      <c r="G65" s="2" t="s">
        <v>20</v>
      </c>
      <c r="H65" s="3">
        <v>514.9</v>
      </c>
      <c r="I65" s="4">
        <v>147.619</v>
      </c>
      <c r="J65" s="4">
        <f t="shared" si="31"/>
        <v>76009.023099999991</v>
      </c>
      <c r="K65" s="4">
        <f t="shared" si="32"/>
        <v>154.99995000000001</v>
      </c>
      <c r="L65" s="1">
        <f t="shared" si="34"/>
        <v>46012</v>
      </c>
      <c r="M65" s="21">
        <f t="shared" si="33"/>
        <v>79809.474255000008</v>
      </c>
      <c r="N65" s="22" t="s">
        <v>97</v>
      </c>
      <c r="O65" s="2"/>
      <c r="P65" s="7">
        <f t="shared" si="40"/>
        <v>9</v>
      </c>
      <c r="Q65" s="2"/>
      <c r="R65" s="2"/>
      <c r="S65" s="2" t="s">
        <v>149</v>
      </c>
      <c r="T65" s="2"/>
      <c r="U65" s="2"/>
      <c r="V65" s="2"/>
      <c r="W65" s="23">
        <v>46022</v>
      </c>
      <c r="Y65" s="18"/>
      <c r="Z65" s="1"/>
      <c r="AA65" s="1"/>
      <c r="AB65" s="2"/>
      <c r="AC65" s="3"/>
      <c r="AD65" s="4"/>
      <c r="AE65" s="4"/>
      <c r="AF65" s="24"/>
      <c r="AG65" s="2"/>
      <c r="AH65" s="23"/>
    </row>
    <row r="66" spans="1:34" hidden="1">
      <c r="A66" t="s">
        <v>113</v>
      </c>
      <c r="B66" s="18">
        <v>62</v>
      </c>
      <c r="C66" s="1">
        <v>45995</v>
      </c>
      <c r="D66" s="1">
        <v>45994</v>
      </c>
      <c r="E66" s="2" t="s">
        <v>91</v>
      </c>
      <c r="F66" s="2">
        <v>110</v>
      </c>
      <c r="G66" s="99" t="s">
        <v>166</v>
      </c>
      <c r="H66" s="3">
        <v>723.94</v>
      </c>
      <c r="I66" s="4">
        <v>185.71430000000001</v>
      </c>
      <c r="J66" s="4">
        <f t="shared" si="31"/>
        <v>134446.01034200002</v>
      </c>
      <c r="K66" s="4">
        <f t="shared" si="32"/>
        <v>195.00001500000002</v>
      </c>
      <c r="L66" s="1">
        <f t="shared" si="34"/>
        <v>46012</v>
      </c>
      <c r="M66" s="21">
        <f t="shared" si="33"/>
        <v>141168.31085910002</v>
      </c>
      <c r="N66" s="22" t="s">
        <v>99</v>
      </c>
      <c r="O66" s="2"/>
      <c r="P66" s="7">
        <f>DAYS360(L66,W66)-(1)</f>
        <v>24</v>
      </c>
      <c r="Q66" s="66">
        <f t="shared" ref="Q66:Q67" si="41">0.18*P66*M66/365</f>
        <v>1670.8139805789374</v>
      </c>
      <c r="R66" s="2"/>
      <c r="S66" s="2" t="s">
        <v>136</v>
      </c>
      <c r="T66" s="1">
        <v>46069</v>
      </c>
      <c r="U66" s="2"/>
      <c r="V66" s="2"/>
      <c r="W66" s="23">
        <v>46038</v>
      </c>
      <c r="Y66" s="18"/>
      <c r="Z66" s="1"/>
      <c r="AA66" s="1"/>
      <c r="AB66" s="2"/>
      <c r="AC66" s="3"/>
      <c r="AD66" s="4"/>
      <c r="AE66" s="4"/>
      <c r="AF66" s="24"/>
      <c r="AG66" s="2"/>
      <c r="AH66" s="23"/>
    </row>
    <row r="67" spans="1:34">
      <c r="A67" t="s">
        <v>113</v>
      </c>
      <c r="B67" s="18">
        <v>63</v>
      </c>
      <c r="C67" s="1">
        <v>45995</v>
      </c>
      <c r="D67" s="1">
        <v>45995</v>
      </c>
      <c r="E67" s="2" t="s">
        <v>26</v>
      </c>
      <c r="F67" s="2"/>
      <c r="G67" s="2" t="s">
        <v>35</v>
      </c>
      <c r="H67" s="3">
        <v>320</v>
      </c>
      <c r="I67" s="4">
        <v>280.95229999999998</v>
      </c>
      <c r="J67" s="4">
        <f t="shared" si="31"/>
        <v>89904.73599999999</v>
      </c>
      <c r="K67" s="4">
        <f t="shared" si="32"/>
        <v>294.99991499999999</v>
      </c>
      <c r="L67" s="1">
        <f t="shared" si="34"/>
        <v>46013</v>
      </c>
      <c r="M67" s="21">
        <f t="shared" si="33"/>
        <v>94399.972799999989</v>
      </c>
      <c r="N67" s="22" t="s">
        <v>99</v>
      </c>
      <c r="O67" s="2"/>
      <c r="P67" s="7">
        <f t="shared" ref="P67:P68" si="42">DAYS360(L67,W67)-(1)</f>
        <v>73</v>
      </c>
      <c r="Q67" s="66">
        <f t="shared" si="41"/>
        <v>3398.3990207999996</v>
      </c>
      <c r="R67" s="2"/>
      <c r="S67" s="2">
        <v>23010</v>
      </c>
      <c r="T67" s="2"/>
      <c r="U67" s="2"/>
      <c r="V67" s="2"/>
      <c r="W67" s="23">
        <v>46087</v>
      </c>
      <c r="Y67" s="18"/>
      <c r="Z67" s="1"/>
      <c r="AA67" s="1"/>
      <c r="AB67" s="2"/>
      <c r="AC67" s="3"/>
      <c r="AD67" s="4"/>
      <c r="AE67" s="4"/>
      <c r="AF67" s="24"/>
      <c r="AG67" s="2"/>
      <c r="AH67" s="23"/>
    </row>
    <row r="68" spans="1:34" hidden="1">
      <c r="A68" t="s">
        <v>113</v>
      </c>
      <c r="B68" s="18">
        <v>64</v>
      </c>
      <c r="C68" s="1">
        <v>45995</v>
      </c>
      <c r="D68" s="1">
        <v>45995</v>
      </c>
      <c r="E68" s="2" t="s">
        <v>137</v>
      </c>
      <c r="F68" s="2"/>
      <c r="G68" s="2" t="s">
        <v>20</v>
      </c>
      <c r="H68" s="3">
        <v>223.16</v>
      </c>
      <c r="I68" s="4">
        <v>147.62</v>
      </c>
      <c r="J68" s="4">
        <f t="shared" si="31"/>
        <v>32942.879200000003</v>
      </c>
      <c r="K68" s="4">
        <f t="shared" si="32"/>
        <v>155.001</v>
      </c>
      <c r="L68" s="1">
        <f t="shared" si="34"/>
        <v>46013</v>
      </c>
      <c r="M68" s="21">
        <f t="shared" si="33"/>
        <v>34590.023159999997</v>
      </c>
      <c r="N68" s="22" t="s">
        <v>97</v>
      </c>
      <c r="O68" s="2"/>
      <c r="P68" s="7">
        <f t="shared" si="42"/>
        <v>40</v>
      </c>
      <c r="Q68" s="2"/>
      <c r="R68" s="2"/>
      <c r="S68" s="2" t="s">
        <v>138</v>
      </c>
      <c r="T68" s="2"/>
      <c r="U68" s="2"/>
      <c r="V68" s="2"/>
      <c r="W68" s="23">
        <v>46056</v>
      </c>
      <c r="Y68" s="18"/>
      <c r="Z68" s="1"/>
      <c r="AA68" s="1"/>
      <c r="AB68" s="2"/>
      <c r="AC68" s="3"/>
      <c r="AD68" s="4"/>
      <c r="AE68" s="4"/>
      <c r="AF68" s="24"/>
      <c r="AG68" s="2"/>
      <c r="AH68" s="23"/>
    </row>
    <row r="69" spans="1:34" hidden="1">
      <c r="A69" t="s">
        <v>113</v>
      </c>
      <c r="B69" s="18">
        <v>65</v>
      </c>
      <c r="C69" s="1">
        <v>45997</v>
      </c>
      <c r="D69" s="1">
        <v>45996</v>
      </c>
      <c r="E69" s="2" t="s">
        <v>19</v>
      </c>
      <c r="F69" s="2">
        <v>5148</v>
      </c>
      <c r="G69" s="2" t="s">
        <v>20</v>
      </c>
      <c r="H69" s="3">
        <v>1156.56</v>
      </c>
      <c r="I69" s="4">
        <v>146.19999999999999</v>
      </c>
      <c r="J69" s="4">
        <f t="shared" si="31"/>
        <v>169089.07199999999</v>
      </c>
      <c r="K69" s="4">
        <f t="shared" si="32"/>
        <v>153.51</v>
      </c>
      <c r="L69" s="1">
        <f t="shared" si="34"/>
        <v>46014</v>
      </c>
      <c r="M69" s="21">
        <f t="shared" si="33"/>
        <v>177543.52559999999</v>
      </c>
      <c r="N69" s="22" t="s">
        <v>98</v>
      </c>
      <c r="O69" s="2"/>
      <c r="P69" s="7">
        <f t="shared" ref="P69" si="43">DAYS360(L69,W69)-(1)</f>
        <v>71</v>
      </c>
      <c r="Q69" s="66">
        <f t="shared" ref="Q69" si="44">0.18*P69*M69/365</f>
        <v>6216.4554990904098</v>
      </c>
      <c r="R69" s="2"/>
      <c r="S69" s="2">
        <v>25454</v>
      </c>
      <c r="T69" s="2"/>
      <c r="U69" s="2" t="s">
        <v>107</v>
      </c>
      <c r="V69" s="1">
        <v>46127</v>
      </c>
      <c r="W69" s="23">
        <v>46086</v>
      </c>
      <c r="Y69" s="18"/>
      <c r="Z69" s="1"/>
      <c r="AA69" s="1"/>
      <c r="AB69" s="2"/>
      <c r="AC69" s="3"/>
      <c r="AD69" s="4"/>
      <c r="AE69" s="4"/>
      <c r="AF69" s="24"/>
      <c r="AG69" s="2"/>
      <c r="AH69" s="23"/>
    </row>
    <row r="70" spans="1:34" hidden="1">
      <c r="A70" t="s">
        <v>113</v>
      </c>
      <c r="B70" s="18">
        <v>66</v>
      </c>
      <c r="C70" s="1">
        <v>45997</v>
      </c>
      <c r="D70" s="1">
        <v>45997</v>
      </c>
      <c r="E70" s="2" t="s">
        <v>91</v>
      </c>
      <c r="F70" s="2">
        <v>281</v>
      </c>
      <c r="G70" s="2" t="s">
        <v>139</v>
      </c>
      <c r="H70" s="3">
        <v>240.54</v>
      </c>
      <c r="I70" s="4">
        <v>190</v>
      </c>
      <c r="J70" s="4">
        <f t="shared" si="31"/>
        <v>45702.6</v>
      </c>
      <c r="K70" s="4">
        <f t="shared" si="32"/>
        <v>199.5</v>
      </c>
      <c r="L70" s="1">
        <f t="shared" si="34"/>
        <v>46015</v>
      </c>
      <c r="M70" s="21">
        <f t="shared" si="33"/>
        <v>47987.729999999996</v>
      </c>
      <c r="N70" s="22" t="s">
        <v>99</v>
      </c>
      <c r="O70" s="2"/>
      <c r="P70" s="7">
        <f t="shared" ref="P70:P72" si="45">DAYS360(L70,W70)-(1)</f>
        <v>21</v>
      </c>
      <c r="Q70" s="66">
        <f t="shared" ref="Q70:Q72" si="46">0.18*P70*M70/365</f>
        <v>496.96882027397254</v>
      </c>
      <c r="R70" s="2"/>
      <c r="S70" s="2" t="s">
        <v>140</v>
      </c>
      <c r="T70" s="1">
        <v>46069</v>
      </c>
      <c r="U70" s="2"/>
      <c r="V70" s="2"/>
      <c r="W70" s="23">
        <v>46038</v>
      </c>
      <c r="Y70" s="18"/>
      <c r="Z70" s="1"/>
      <c r="AA70" s="1"/>
      <c r="AB70" s="2"/>
      <c r="AC70" s="3"/>
      <c r="AD70" s="4"/>
      <c r="AE70" s="4"/>
      <c r="AF70" s="24"/>
      <c r="AG70" s="2"/>
      <c r="AH70" s="23"/>
    </row>
    <row r="71" spans="1:34" hidden="1">
      <c r="A71" t="s">
        <v>113</v>
      </c>
      <c r="B71" s="18">
        <v>67</v>
      </c>
      <c r="C71" s="1">
        <v>46012</v>
      </c>
      <c r="D71" s="1">
        <v>46013</v>
      </c>
      <c r="E71" s="2" t="s">
        <v>91</v>
      </c>
      <c r="F71" s="2">
        <v>283</v>
      </c>
      <c r="G71" s="2" t="s">
        <v>139</v>
      </c>
      <c r="H71" s="3">
        <v>260.58</v>
      </c>
      <c r="I71" s="4">
        <v>192</v>
      </c>
      <c r="J71" s="4">
        <f t="shared" si="31"/>
        <v>50031.360000000001</v>
      </c>
      <c r="K71" s="4">
        <f t="shared" si="32"/>
        <v>201.60000000000002</v>
      </c>
      <c r="L71" s="1">
        <f t="shared" si="34"/>
        <v>46031</v>
      </c>
      <c r="M71" s="21">
        <f t="shared" si="33"/>
        <v>52532.928</v>
      </c>
      <c r="N71" s="22" t="s">
        <v>99</v>
      </c>
      <c r="O71" s="2"/>
      <c r="P71" s="7">
        <f t="shared" si="45"/>
        <v>30</v>
      </c>
      <c r="Q71" s="66">
        <f t="shared" si="46"/>
        <v>777.19948273972602</v>
      </c>
      <c r="R71" s="2"/>
      <c r="S71" s="2" t="s">
        <v>150</v>
      </c>
      <c r="T71" s="1">
        <v>46069</v>
      </c>
      <c r="U71" s="2"/>
      <c r="V71" s="2"/>
      <c r="W71" s="23">
        <v>46063</v>
      </c>
      <c r="Y71" s="18"/>
      <c r="Z71" s="1"/>
      <c r="AA71" s="1"/>
      <c r="AB71" s="2"/>
      <c r="AC71" s="3"/>
      <c r="AD71" s="4"/>
      <c r="AE71" s="4"/>
      <c r="AF71" s="24"/>
      <c r="AG71" s="2"/>
      <c r="AH71" s="23"/>
    </row>
    <row r="72" spans="1:34">
      <c r="A72" t="s">
        <v>113</v>
      </c>
      <c r="B72" s="18">
        <v>68</v>
      </c>
      <c r="C72" s="1">
        <v>46016</v>
      </c>
      <c r="D72" s="1">
        <v>46016</v>
      </c>
      <c r="E72" s="2" t="s">
        <v>26</v>
      </c>
      <c r="F72" s="2" t="s">
        <v>29</v>
      </c>
      <c r="G72" s="99" t="s">
        <v>167</v>
      </c>
      <c r="H72" s="3">
        <v>1008.82</v>
      </c>
      <c r="I72" s="4">
        <v>264.76190000000003</v>
      </c>
      <c r="J72" s="4">
        <f t="shared" si="31"/>
        <v>267097.09995800006</v>
      </c>
      <c r="K72" s="4">
        <f t="shared" si="32"/>
        <v>277.99999500000001</v>
      </c>
      <c r="L72" s="1">
        <f t="shared" si="34"/>
        <v>46034</v>
      </c>
      <c r="M72" s="21">
        <f t="shared" si="33"/>
        <v>280451.95495590003</v>
      </c>
      <c r="N72" s="22" t="s">
        <v>99</v>
      </c>
      <c r="O72" s="2"/>
      <c r="P72" s="7">
        <f t="shared" si="45"/>
        <v>56</v>
      </c>
      <c r="Q72" s="66">
        <f t="shared" si="46"/>
        <v>7745.0841259054032</v>
      </c>
      <c r="R72" s="2"/>
      <c r="S72" s="2">
        <v>24850</v>
      </c>
      <c r="T72" s="2"/>
      <c r="U72" s="2"/>
      <c r="V72" s="2"/>
      <c r="W72" s="23">
        <v>46090</v>
      </c>
      <c r="Y72" s="18"/>
      <c r="Z72" s="1"/>
      <c r="AA72" s="1"/>
      <c r="AB72" s="2"/>
      <c r="AC72" s="3"/>
      <c r="AD72" s="4"/>
      <c r="AE72" s="4"/>
      <c r="AF72" s="24"/>
      <c r="AG72" s="2"/>
      <c r="AH72" s="23"/>
    </row>
    <row r="73" spans="1:34" hidden="1">
      <c r="A73" t="s">
        <v>113</v>
      </c>
      <c r="B73" s="18">
        <v>69</v>
      </c>
      <c r="C73" s="1">
        <v>46019</v>
      </c>
      <c r="D73" s="1">
        <v>46020</v>
      </c>
      <c r="E73" s="2" t="s">
        <v>91</v>
      </c>
      <c r="F73" s="2" t="s">
        <v>126</v>
      </c>
      <c r="G73" s="2" t="s">
        <v>85</v>
      </c>
      <c r="H73" s="3">
        <v>260</v>
      </c>
      <c r="I73" s="4">
        <v>312</v>
      </c>
      <c r="J73" s="4">
        <f t="shared" si="31"/>
        <v>81120</v>
      </c>
      <c r="K73" s="4">
        <f t="shared" si="32"/>
        <v>327.60000000000002</v>
      </c>
      <c r="L73" s="1">
        <f t="shared" si="34"/>
        <v>46038</v>
      </c>
      <c r="M73" s="21">
        <f t="shared" si="33"/>
        <v>85176</v>
      </c>
      <c r="N73" s="22" t="s">
        <v>99</v>
      </c>
      <c r="O73" s="2"/>
      <c r="P73" s="7">
        <f>DAYS360(L73,W73)-(1)</f>
        <v>23</v>
      </c>
      <c r="Q73" s="66">
        <f t="shared" ref="Q73:Q77" si="47">0.18*P73*M73/365</f>
        <v>966.10586301369847</v>
      </c>
      <c r="R73" s="2"/>
      <c r="S73" s="2" t="s">
        <v>151</v>
      </c>
      <c r="T73" s="1">
        <v>46069</v>
      </c>
      <c r="U73" s="2"/>
      <c r="V73" s="2"/>
      <c r="W73" s="23">
        <v>46063</v>
      </c>
      <c r="Y73" s="18"/>
      <c r="Z73" s="1"/>
      <c r="AA73" s="1"/>
      <c r="AB73" s="2"/>
      <c r="AC73" s="3"/>
      <c r="AD73" s="4"/>
      <c r="AE73" s="4"/>
      <c r="AF73" s="24"/>
      <c r="AG73" s="2"/>
      <c r="AH73" s="23"/>
    </row>
    <row r="74" spans="1:34">
      <c r="A74" t="s">
        <v>113</v>
      </c>
      <c r="B74" s="18">
        <v>70</v>
      </c>
      <c r="C74" s="1">
        <v>46032</v>
      </c>
      <c r="D74" s="1">
        <v>46032</v>
      </c>
      <c r="E74" s="2" t="s">
        <v>26</v>
      </c>
      <c r="F74" s="2" t="s">
        <v>156</v>
      </c>
      <c r="G74" s="2" t="s">
        <v>35</v>
      </c>
      <c r="H74" s="3">
        <v>180</v>
      </c>
      <c r="I74" s="4">
        <v>302</v>
      </c>
      <c r="J74" s="4">
        <f t="shared" si="31"/>
        <v>54360</v>
      </c>
      <c r="K74" s="4">
        <f t="shared" si="32"/>
        <v>317.10000000000002</v>
      </c>
      <c r="L74" s="1">
        <f t="shared" si="34"/>
        <v>46050</v>
      </c>
      <c r="M74" s="21">
        <f t="shared" si="33"/>
        <v>57078.000000000007</v>
      </c>
      <c r="N74" s="22" t="s">
        <v>99</v>
      </c>
      <c r="O74" s="2"/>
      <c r="P74" s="7">
        <f t="shared" ref="P74:P77" si="48">DAYS360(L74,W74)-(1)</f>
        <v>40</v>
      </c>
      <c r="Q74" s="66">
        <f t="shared" si="47"/>
        <v>1125.922191780822</v>
      </c>
      <c r="R74" s="2"/>
      <c r="S74" s="2">
        <v>26396</v>
      </c>
      <c r="T74" s="2"/>
      <c r="U74" s="2"/>
      <c r="V74" s="2"/>
      <c r="W74" s="23">
        <v>46090</v>
      </c>
      <c r="Y74" s="18"/>
      <c r="Z74" s="1"/>
      <c r="AA74" s="1"/>
      <c r="AB74" s="2"/>
      <c r="AC74" s="3"/>
      <c r="AD74" s="4"/>
      <c r="AE74" s="4"/>
      <c r="AF74" s="24"/>
      <c r="AG74" s="2"/>
      <c r="AH74" s="23"/>
    </row>
    <row r="75" spans="1:34">
      <c r="A75" t="s">
        <v>113</v>
      </c>
      <c r="B75" s="18">
        <v>71</v>
      </c>
      <c r="C75" s="1">
        <v>46037</v>
      </c>
      <c r="D75" s="1">
        <v>46037</v>
      </c>
      <c r="E75" s="2" t="s">
        <v>26</v>
      </c>
      <c r="F75" s="2"/>
      <c r="G75" s="99" t="s">
        <v>167</v>
      </c>
      <c r="H75" s="3">
        <v>496.7</v>
      </c>
      <c r="I75" s="4">
        <v>264.76190000000003</v>
      </c>
      <c r="J75" s="4">
        <f t="shared" si="31"/>
        <v>131507.23573000001</v>
      </c>
      <c r="K75" s="4">
        <f t="shared" si="32"/>
        <v>277.99999500000001</v>
      </c>
      <c r="L75" s="1">
        <f t="shared" si="34"/>
        <v>46055</v>
      </c>
      <c r="M75" s="21">
        <f t="shared" si="33"/>
        <v>138082.59751650001</v>
      </c>
      <c r="N75" s="22" t="s">
        <v>99</v>
      </c>
      <c r="O75" s="2"/>
      <c r="P75" s="7">
        <f t="shared" si="48"/>
        <v>36</v>
      </c>
      <c r="Q75" s="66">
        <f t="shared" si="47"/>
        <v>2451.438991525808</v>
      </c>
      <c r="R75" s="2"/>
      <c r="S75" s="2">
        <v>26842</v>
      </c>
      <c r="T75" s="2"/>
      <c r="U75" s="2"/>
      <c r="V75" s="2"/>
      <c r="W75" s="23">
        <v>46090</v>
      </c>
      <c r="Y75" s="18"/>
      <c r="Z75" s="1"/>
      <c r="AA75" s="1"/>
      <c r="AB75" s="2"/>
      <c r="AC75" s="3"/>
      <c r="AD75" s="4"/>
      <c r="AE75" s="4"/>
      <c r="AF75" s="24"/>
      <c r="AG75" s="2"/>
      <c r="AH75" s="23"/>
    </row>
    <row r="76" spans="1:34">
      <c r="A76" t="s">
        <v>113</v>
      </c>
      <c r="B76" s="18">
        <v>72</v>
      </c>
      <c r="C76" s="1">
        <v>46038</v>
      </c>
      <c r="D76" s="1">
        <v>46038</v>
      </c>
      <c r="E76" s="2" t="s">
        <v>26</v>
      </c>
      <c r="F76" s="2"/>
      <c r="G76" s="2" t="s">
        <v>35</v>
      </c>
      <c r="H76" s="3">
        <v>200</v>
      </c>
      <c r="I76" s="4">
        <v>302</v>
      </c>
      <c r="J76" s="4">
        <f t="shared" si="31"/>
        <v>60400</v>
      </c>
      <c r="K76" s="4">
        <f t="shared" si="32"/>
        <v>317.10000000000002</v>
      </c>
      <c r="L76" s="1">
        <f t="shared" si="34"/>
        <v>46056</v>
      </c>
      <c r="M76" s="21">
        <f t="shared" si="33"/>
        <v>63420.000000000007</v>
      </c>
      <c r="N76" s="22" t="s">
        <v>99</v>
      </c>
      <c r="O76" s="2"/>
      <c r="P76" s="7">
        <f t="shared" si="48"/>
        <v>57</v>
      </c>
      <c r="Q76" s="66">
        <f t="shared" si="47"/>
        <v>1782.7101369863014</v>
      </c>
      <c r="R76" s="2"/>
      <c r="S76" s="2">
        <v>26999</v>
      </c>
      <c r="T76" s="2"/>
      <c r="U76" s="2"/>
      <c r="V76" s="2"/>
      <c r="W76" s="23">
        <v>46112</v>
      </c>
      <c r="Y76" s="18"/>
      <c r="Z76" s="1"/>
      <c r="AA76" s="1"/>
      <c r="AB76" s="2"/>
      <c r="AC76" s="3"/>
      <c r="AD76" s="4"/>
      <c r="AE76" s="4"/>
      <c r="AF76" s="24"/>
      <c r="AG76" s="2"/>
      <c r="AH76" s="23"/>
    </row>
    <row r="77" spans="1:34">
      <c r="A77" t="s">
        <v>113</v>
      </c>
      <c r="B77" s="18">
        <v>73</v>
      </c>
      <c r="C77" s="1">
        <v>46044</v>
      </c>
      <c r="D77" s="1">
        <v>46044</v>
      </c>
      <c r="E77" s="2" t="s">
        <v>26</v>
      </c>
      <c r="F77" s="2"/>
      <c r="G77" s="99" t="s">
        <v>167</v>
      </c>
      <c r="H77" s="3">
        <v>495.24</v>
      </c>
      <c r="I77" s="4">
        <v>264.76190000000003</v>
      </c>
      <c r="J77" s="4">
        <f t="shared" si="31"/>
        <v>131120.68335600002</v>
      </c>
      <c r="K77" s="4">
        <f t="shared" si="32"/>
        <v>277.99999500000001</v>
      </c>
      <c r="L77" s="1">
        <f t="shared" si="34"/>
        <v>46062</v>
      </c>
      <c r="M77" s="21">
        <f t="shared" si="33"/>
        <v>137676.71752380001</v>
      </c>
      <c r="N77" s="22" t="s">
        <v>99</v>
      </c>
      <c r="O77" s="2"/>
      <c r="P77" s="7">
        <f t="shared" si="48"/>
        <v>51</v>
      </c>
      <c r="Q77" s="66">
        <f t="shared" si="47"/>
        <v>3462.6637448451615</v>
      </c>
      <c r="R77" s="2"/>
      <c r="S77" s="2">
        <v>27689</v>
      </c>
      <c r="T77" s="2"/>
      <c r="U77" s="2"/>
      <c r="V77" s="2"/>
      <c r="W77" s="23">
        <v>46112</v>
      </c>
      <c r="Y77" s="18"/>
      <c r="Z77" s="1"/>
      <c r="AA77" s="1"/>
      <c r="AB77" s="2"/>
      <c r="AC77" s="3"/>
      <c r="AD77" s="4"/>
      <c r="AE77" s="4"/>
      <c r="AF77" s="24"/>
      <c r="AG77" s="2"/>
      <c r="AH77" s="23"/>
    </row>
    <row r="78" spans="1:34" hidden="1">
      <c r="A78" t="s">
        <v>113</v>
      </c>
      <c r="B78" s="18">
        <v>74</v>
      </c>
      <c r="C78" s="1">
        <v>46047</v>
      </c>
      <c r="D78" s="1">
        <v>46046</v>
      </c>
      <c r="E78" s="2" t="s">
        <v>91</v>
      </c>
      <c r="F78" s="2">
        <v>110</v>
      </c>
      <c r="G78" s="99" t="s">
        <v>166</v>
      </c>
      <c r="H78" s="3">
        <v>1158.68</v>
      </c>
      <c r="I78" s="4">
        <v>177.1429</v>
      </c>
      <c r="J78" s="4">
        <f t="shared" si="31"/>
        <v>205251.93537200001</v>
      </c>
      <c r="K78" s="4">
        <f t="shared" si="32"/>
        <v>186.000045</v>
      </c>
      <c r="L78" s="1">
        <f t="shared" si="34"/>
        <v>46064</v>
      </c>
      <c r="M78" s="21">
        <f t="shared" si="33"/>
        <v>215514.5321406</v>
      </c>
      <c r="N78" s="22" t="s">
        <v>99</v>
      </c>
      <c r="O78" s="2"/>
      <c r="P78" s="7">
        <f>DAYS360(L78,W78)-(1)</f>
        <v>-2</v>
      </c>
      <c r="Q78" s="66">
        <f t="shared" ref="Q78:Q84" si="49">0.18*P78*M78/365</f>
        <v>-212.56227827566028</v>
      </c>
      <c r="R78" s="2"/>
      <c r="S78" s="2" t="s">
        <v>162</v>
      </c>
      <c r="T78" s="1">
        <v>46069</v>
      </c>
      <c r="U78" s="2"/>
      <c r="V78" s="2"/>
      <c r="W78" s="23">
        <v>46063</v>
      </c>
      <c r="Y78" s="18"/>
      <c r="Z78" s="1"/>
      <c r="AA78" s="1"/>
      <c r="AB78" s="2"/>
      <c r="AC78" s="3"/>
      <c r="AD78" s="4"/>
      <c r="AE78" s="4"/>
      <c r="AF78" s="24"/>
      <c r="AG78" s="2"/>
      <c r="AH78" s="23"/>
    </row>
    <row r="79" spans="1:34">
      <c r="A79" t="s">
        <v>113</v>
      </c>
      <c r="B79" s="18">
        <v>75</v>
      </c>
      <c r="C79" s="1">
        <v>46050</v>
      </c>
      <c r="D79" s="1">
        <v>46050</v>
      </c>
      <c r="E79" s="2" t="s">
        <v>26</v>
      </c>
      <c r="F79" s="2"/>
      <c r="G79" s="99" t="s">
        <v>167</v>
      </c>
      <c r="H79" s="3">
        <v>999.2</v>
      </c>
      <c r="I79" s="4">
        <v>285.70999999999998</v>
      </c>
      <c r="J79" s="4">
        <f t="shared" si="31"/>
        <v>285481.43199999997</v>
      </c>
      <c r="K79" s="4">
        <f t="shared" si="32"/>
        <v>299.99549999999999</v>
      </c>
      <c r="L79" s="1">
        <f t="shared" si="34"/>
        <v>46068</v>
      </c>
      <c r="M79" s="21">
        <f t="shared" si="33"/>
        <v>299755.5036</v>
      </c>
      <c r="N79" s="22" t="s">
        <v>99</v>
      </c>
      <c r="O79" s="2"/>
      <c r="P79" s="7">
        <f t="shared" ref="P79" si="50">DAYS360(L79,W79)-(1)</f>
        <v>45</v>
      </c>
      <c r="Q79" s="66">
        <f t="shared" si="49"/>
        <v>6652.1084360547939</v>
      </c>
      <c r="R79" s="2"/>
      <c r="S79" s="2">
        <v>28387</v>
      </c>
      <c r="T79" s="2"/>
      <c r="U79" s="2"/>
      <c r="V79" s="2"/>
      <c r="W79" s="23">
        <v>46112</v>
      </c>
      <c r="Y79" s="18"/>
      <c r="Z79" s="1"/>
      <c r="AA79" s="1"/>
      <c r="AB79" s="2"/>
      <c r="AC79" s="3"/>
      <c r="AD79" s="4"/>
      <c r="AE79" s="4"/>
      <c r="AF79" s="24"/>
      <c r="AG79" s="2"/>
      <c r="AH79" s="23"/>
    </row>
    <row r="80" spans="1:34" hidden="1">
      <c r="A80" t="s">
        <v>113</v>
      </c>
      <c r="B80" s="18">
        <v>76</v>
      </c>
      <c r="C80" s="1">
        <v>46053</v>
      </c>
      <c r="D80" s="1">
        <v>46050</v>
      </c>
      <c r="E80" s="2" t="s">
        <v>91</v>
      </c>
      <c r="F80" s="2">
        <v>110</v>
      </c>
      <c r="G80" s="99" t="s">
        <v>166</v>
      </c>
      <c r="H80" s="3">
        <v>1159.08</v>
      </c>
      <c r="I80" s="4">
        <v>177.1429</v>
      </c>
      <c r="J80" s="4">
        <f t="shared" si="31"/>
        <v>205322.79253199999</v>
      </c>
      <c r="K80" s="4">
        <f t="shared" si="32"/>
        <v>186.000045</v>
      </c>
      <c r="L80" s="1">
        <f t="shared" si="34"/>
        <v>46068</v>
      </c>
      <c r="M80" s="21">
        <f t="shared" si="33"/>
        <v>215588.93215859999</v>
      </c>
      <c r="N80" s="22" t="s">
        <v>99</v>
      </c>
      <c r="O80" s="2"/>
      <c r="P80" s="7">
        <f t="shared" ref="P80:P82" si="51">DAYS360(L80,W80)-(1)</f>
        <v>32</v>
      </c>
      <c r="Q80" s="66">
        <f t="shared" si="49"/>
        <v>3402.1705458453039</v>
      </c>
      <c r="R80" s="2"/>
      <c r="S80" s="2" t="s">
        <v>163</v>
      </c>
      <c r="T80" s="1">
        <v>46126</v>
      </c>
      <c r="U80" s="2"/>
      <c r="V80" s="2"/>
      <c r="W80" s="23">
        <v>46099</v>
      </c>
      <c r="Y80" s="18"/>
      <c r="Z80" s="1"/>
      <c r="AA80" s="1"/>
      <c r="AB80" s="2"/>
      <c r="AC80" s="3"/>
      <c r="AD80" s="4"/>
      <c r="AE80" s="4"/>
      <c r="AF80" s="24"/>
      <c r="AG80" s="2"/>
      <c r="AH80" s="23"/>
    </row>
    <row r="81" spans="1:34" hidden="1">
      <c r="A81" t="s">
        <v>113</v>
      </c>
      <c r="B81" s="18">
        <v>77</v>
      </c>
      <c r="C81" s="1">
        <v>46056</v>
      </c>
      <c r="D81" s="1">
        <v>46056</v>
      </c>
      <c r="E81" s="2" t="s">
        <v>91</v>
      </c>
      <c r="F81" s="2"/>
      <c r="G81" s="2" t="s">
        <v>85</v>
      </c>
      <c r="H81" s="3">
        <v>281.12</v>
      </c>
      <c r="I81" s="4">
        <v>302</v>
      </c>
      <c r="J81" s="4">
        <f t="shared" si="31"/>
        <v>84898.240000000005</v>
      </c>
      <c r="K81" s="4">
        <f t="shared" si="32"/>
        <v>317.10000000000002</v>
      </c>
      <c r="L81" s="1">
        <f t="shared" si="34"/>
        <v>46074</v>
      </c>
      <c r="M81" s="21">
        <f t="shared" si="33"/>
        <v>89143.152000000002</v>
      </c>
      <c r="N81" s="22" t="s">
        <v>99</v>
      </c>
      <c r="O81" s="2"/>
      <c r="P81" s="7">
        <f t="shared" si="51"/>
        <v>26</v>
      </c>
      <c r="Q81" s="66">
        <f t="shared" si="49"/>
        <v>1142.986168109589</v>
      </c>
      <c r="R81" s="2"/>
      <c r="S81" s="2" t="s">
        <v>164</v>
      </c>
      <c r="T81" s="1">
        <v>46126</v>
      </c>
      <c r="U81" s="2"/>
      <c r="V81" s="2"/>
      <c r="W81" s="23">
        <v>46099</v>
      </c>
      <c r="Y81" s="18"/>
      <c r="Z81" s="1"/>
      <c r="AA81" s="1"/>
      <c r="AB81" s="2"/>
      <c r="AC81" s="3"/>
      <c r="AD81" s="4"/>
      <c r="AE81" s="4"/>
      <c r="AF81" s="24"/>
      <c r="AG81" s="2"/>
      <c r="AH81" s="23"/>
    </row>
    <row r="82" spans="1:34">
      <c r="A82" t="s">
        <v>113</v>
      </c>
      <c r="B82" s="18">
        <v>78</v>
      </c>
      <c r="C82" s="1">
        <v>46057</v>
      </c>
      <c r="D82" s="1">
        <v>46057</v>
      </c>
      <c r="E82" s="2" t="s">
        <v>26</v>
      </c>
      <c r="F82" s="2"/>
      <c r="G82" s="99" t="s">
        <v>167</v>
      </c>
      <c r="H82" s="3">
        <v>990.14</v>
      </c>
      <c r="I82" s="4">
        <v>285.70999999999998</v>
      </c>
      <c r="J82" s="4">
        <f t="shared" si="31"/>
        <v>282892.89939999999</v>
      </c>
      <c r="K82" s="4">
        <f t="shared" si="32"/>
        <v>299.99549999999999</v>
      </c>
      <c r="L82" s="1">
        <f t="shared" si="34"/>
        <v>46075</v>
      </c>
      <c r="M82" s="21">
        <f t="shared" si="33"/>
        <v>297037.54437000002</v>
      </c>
      <c r="N82" s="22" t="s">
        <v>97</v>
      </c>
      <c r="O82" s="2"/>
      <c r="P82" s="7">
        <f t="shared" si="51"/>
        <v>44</v>
      </c>
      <c r="Q82" s="66">
        <f t="shared" si="49"/>
        <v>6445.3078120832879</v>
      </c>
      <c r="R82" s="2"/>
      <c r="S82" s="2">
        <v>29149</v>
      </c>
      <c r="T82" s="2"/>
      <c r="U82" s="2"/>
      <c r="V82" s="2"/>
      <c r="W82" s="23">
        <v>46119</v>
      </c>
      <c r="Y82" s="18"/>
      <c r="Z82" s="1"/>
      <c r="AA82" s="1"/>
      <c r="AB82" s="2"/>
      <c r="AC82" s="3"/>
      <c r="AD82" s="4"/>
      <c r="AE82" s="4"/>
      <c r="AF82" s="24"/>
      <c r="AG82" s="2"/>
      <c r="AH82" s="23"/>
    </row>
    <row r="83" spans="1:34" hidden="1">
      <c r="A83" t="s">
        <v>113</v>
      </c>
      <c r="B83" s="18">
        <v>79</v>
      </c>
      <c r="C83" s="1">
        <v>46059</v>
      </c>
      <c r="D83" s="1">
        <v>46058</v>
      </c>
      <c r="E83" s="2" t="s">
        <v>91</v>
      </c>
      <c r="F83" s="2"/>
      <c r="G83" s="2" t="s">
        <v>85</v>
      </c>
      <c r="H83" s="3">
        <v>903.42</v>
      </c>
      <c r="I83" s="4">
        <v>302</v>
      </c>
      <c r="J83" s="4">
        <f t="shared" si="31"/>
        <v>272832.83999999997</v>
      </c>
      <c r="K83" s="4">
        <f t="shared" si="32"/>
        <v>317.10000000000002</v>
      </c>
      <c r="L83" s="1">
        <f t="shared" si="34"/>
        <v>46076</v>
      </c>
      <c r="M83" s="21">
        <f t="shared" si="33"/>
        <v>286474.48200000002</v>
      </c>
      <c r="N83" s="22" t="s">
        <v>97</v>
      </c>
      <c r="O83" s="2"/>
      <c r="P83" s="7">
        <f>DAYS360(L83,W83)-(1)</f>
        <v>29</v>
      </c>
      <c r="Q83" s="66">
        <f t="shared" si="49"/>
        <v>4096.9775233972605</v>
      </c>
      <c r="R83" s="2"/>
      <c r="S83" s="2" t="s">
        <v>165</v>
      </c>
      <c r="T83" s="1">
        <v>46126</v>
      </c>
      <c r="U83" s="2"/>
      <c r="V83" s="2"/>
      <c r="W83" s="23">
        <v>46104</v>
      </c>
      <c r="Y83" s="18"/>
      <c r="Z83" s="1"/>
      <c r="AA83" s="1"/>
      <c r="AB83" s="2"/>
      <c r="AC83" s="3"/>
      <c r="AD83" s="4"/>
      <c r="AE83" s="4"/>
      <c r="AF83" s="24"/>
      <c r="AG83" s="2"/>
      <c r="AH83" s="23"/>
    </row>
    <row r="84" spans="1:34">
      <c r="A84" t="s">
        <v>113</v>
      </c>
      <c r="B84" s="18">
        <v>80</v>
      </c>
      <c r="C84" s="1">
        <v>46061</v>
      </c>
      <c r="D84" s="1">
        <v>46060</v>
      </c>
      <c r="E84" s="2" t="s">
        <v>26</v>
      </c>
      <c r="F84" s="2"/>
      <c r="G84" s="2" t="s">
        <v>167</v>
      </c>
      <c r="H84" s="3">
        <v>489.21</v>
      </c>
      <c r="I84" s="4">
        <v>285.70999999999998</v>
      </c>
      <c r="J84" s="4">
        <f t="shared" si="31"/>
        <v>139772.18909999999</v>
      </c>
      <c r="K84" s="4">
        <f t="shared" si="32"/>
        <v>299.99549999999999</v>
      </c>
      <c r="L84" s="1">
        <f t="shared" si="34"/>
        <v>46078</v>
      </c>
      <c r="M84" s="21">
        <f t="shared" si="33"/>
        <v>146760.79855499999</v>
      </c>
      <c r="N84" s="22" t="s">
        <v>99</v>
      </c>
      <c r="O84" s="2"/>
      <c r="P84" s="7">
        <f t="shared" ref="P84" si="52">DAYS360(L84,W84)-(1)</f>
        <v>48</v>
      </c>
      <c r="Q84" s="66">
        <f t="shared" si="49"/>
        <v>3474.0090397676713</v>
      </c>
      <c r="R84" s="2"/>
      <c r="S84" s="2">
        <v>29633</v>
      </c>
      <c r="T84" s="2"/>
      <c r="U84" s="2"/>
      <c r="V84" s="2"/>
      <c r="W84" s="23">
        <v>46126</v>
      </c>
      <c r="Y84" s="18"/>
      <c r="Z84" s="1"/>
      <c r="AA84" s="1"/>
      <c r="AB84" s="2"/>
      <c r="AC84" s="3"/>
      <c r="AD84" s="4"/>
      <c r="AE84" s="4"/>
      <c r="AF84" s="24"/>
      <c r="AG84" s="2"/>
      <c r="AH84" s="23"/>
    </row>
    <row r="85" spans="1:34" hidden="1">
      <c r="A85" t="s">
        <v>113</v>
      </c>
      <c r="B85" s="18">
        <v>81</v>
      </c>
      <c r="C85" s="1">
        <v>46064</v>
      </c>
      <c r="D85" s="1">
        <v>46063</v>
      </c>
      <c r="E85" s="2" t="s">
        <v>91</v>
      </c>
      <c r="F85" s="2"/>
      <c r="G85" s="2" t="s">
        <v>20</v>
      </c>
      <c r="H85" s="3">
        <v>1154.69</v>
      </c>
      <c r="I85" s="4">
        <v>152.19999999999999</v>
      </c>
      <c r="J85" s="4">
        <f t="shared" si="31"/>
        <v>175743.818</v>
      </c>
      <c r="K85" s="4">
        <f t="shared" si="32"/>
        <v>159.81</v>
      </c>
      <c r="L85" s="1">
        <f t="shared" si="34"/>
        <v>46081</v>
      </c>
      <c r="M85" s="21">
        <f t="shared" si="33"/>
        <v>184531.00890000002</v>
      </c>
      <c r="N85" s="22" t="s">
        <v>97</v>
      </c>
      <c r="O85" s="2"/>
      <c r="P85" s="7">
        <f>DAYS360(L85,W85)-(1)</f>
        <v>29</v>
      </c>
      <c r="Q85" s="66">
        <f>0.18*P85*173042/365</f>
        <v>2474.7376438356164</v>
      </c>
      <c r="R85" s="2"/>
      <c r="S85" s="2" t="s">
        <v>176</v>
      </c>
      <c r="T85" s="1">
        <v>46126</v>
      </c>
      <c r="U85" s="2"/>
      <c r="V85" s="2"/>
      <c r="W85" s="23">
        <v>46112</v>
      </c>
      <c r="Y85" s="18"/>
      <c r="Z85" s="1"/>
      <c r="AA85" s="1"/>
      <c r="AB85" s="2"/>
      <c r="AC85" s="3"/>
      <c r="AD85" s="4"/>
      <c r="AE85" s="4"/>
      <c r="AF85" s="24"/>
      <c r="AG85" s="2"/>
      <c r="AH85" s="23"/>
    </row>
    <row r="86" spans="1:34" hidden="1">
      <c r="A86" t="s">
        <v>113</v>
      </c>
      <c r="B86" s="18">
        <v>82</v>
      </c>
      <c r="C86" s="1">
        <v>46064</v>
      </c>
      <c r="D86" s="1">
        <v>46065</v>
      </c>
      <c r="E86" s="2" t="s">
        <v>177</v>
      </c>
      <c r="F86" s="2"/>
      <c r="G86" s="2" t="s">
        <v>182</v>
      </c>
      <c r="H86" s="3">
        <v>154.91</v>
      </c>
      <c r="I86" s="4">
        <v>330</v>
      </c>
      <c r="J86" s="4">
        <f t="shared" si="31"/>
        <v>51120.299999999996</v>
      </c>
      <c r="K86" s="4">
        <f t="shared" si="32"/>
        <v>346.5</v>
      </c>
      <c r="L86" s="1">
        <f t="shared" si="34"/>
        <v>46083</v>
      </c>
      <c r="M86" s="21">
        <f t="shared" si="33"/>
        <v>53676.315000000002</v>
      </c>
      <c r="N86" s="22" t="s">
        <v>98</v>
      </c>
      <c r="O86" s="2"/>
      <c r="P86" s="7">
        <f>DAYS360(L86,W86)-(1)</f>
        <v>24</v>
      </c>
      <c r="Q86" s="2"/>
      <c r="R86" s="2"/>
      <c r="S86" s="2" t="s">
        <v>178</v>
      </c>
      <c r="T86" s="2"/>
      <c r="U86" s="2"/>
      <c r="V86" s="2"/>
      <c r="W86" s="23">
        <v>46108</v>
      </c>
      <c r="Y86" s="18"/>
      <c r="Z86" s="1"/>
      <c r="AA86" s="1"/>
      <c r="AB86" s="2"/>
      <c r="AC86" s="3"/>
      <c r="AD86" s="4"/>
      <c r="AE86" s="4"/>
      <c r="AF86" s="24"/>
      <c r="AG86" s="2"/>
      <c r="AH86" s="23"/>
    </row>
    <row r="87" spans="1:34">
      <c r="A87" t="s">
        <v>113</v>
      </c>
      <c r="B87" s="18">
        <v>83</v>
      </c>
      <c r="C87" s="1">
        <v>46065</v>
      </c>
      <c r="D87" s="1">
        <v>46065</v>
      </c>
      <c r="E87" s="2" t="s">
        <v>26</v>
      </c>
      <c r="F87" s="2" t="s">
        <v>29</v>
      </c>
      <c r="G87" s="2" t="s">
        <v>167</v>
      </c>
      <c r="H87" s="3">
        <v>989.72</v>
      </c>
      <c r="I87" s="3">
        <v>285.70999999999998</v>
      </c>
      <c r="J87" s="4">
        <f t="shared" ref="J87:J102" si="53">H87*I87</f>
        <v>282772.90119999996</v>
      </c>
      <c r="K87" s="4">
        <f t="shared" si="32"/>
        <v>299.99549999999999</v>
      </c>
      <c r="L87" s="1">
        <f t="shared" si="34"/>
        <v>46083</v>
      </c>
      <c r="M87" s="21">
        <f t="shared" si="33"/>
        <v>296911.54625999997</v>
      </c>
      <c r="N87" s="22" t="s">
        <v>99</v>
      </c>
      <c r="O87" s="2"/>
      <c r="P87" s="7">
        <f t="shared" ref="P87:P94" si="54">DAYS360(L87,W87)-(1)</f>
        <v>41</v>
      </c>
      <c r="Q87" s="66">
        <f t="shared" ref="Q87" si="55">0.18*P87*M87/365</f>
        <v>6003.307428489863</v>
      </c>
      <c r="R87" s="2"/>
      <c r="S87" s="2">
        <v>30218</v>
      </c>
      <c r="T87" s="2"/>
      <c r="U87" s="2"/>
      <c r="V87" s="2"/>
      <c r="W87" s="23">
        <v>46126</v>
      </c>
      <c r="Y87" s="18"/>
      <c r="Z87" s="1"/>
      <c r="AA87" s="1"/>
      <c r="AB87" s="2"/>
      <c r="AC87" s="3"/>
      <c r="AD87" s="4"/>
      <c r="AE87" s="4"/>
      <c r="AF87" s="24"/>
      <c r="AG87" s="2"/>
      <c r="AH87" s="23"/>
    </row>
    <row r="88" spans="1:34" hidden="1">
      <c r="A88" t="s">
        <v>113</v>
      </c>
      <c r="B88" s="18">
        <v>84</v>
      </c>
      <c r="C88" s="1">
        <v>46071</v>
      </c>
      <c r="D88" s="1">
        <v>46071</v>
      </c>
      <c r="E88" s="2" t="s">
        <v>177</v>
      </c>
      <c r="F88" s="2"/>
      <c r="G88" s="2" t="s">
        <v>182</v>
      </c>
      <c r="H88" s="3">
        <v>116.14</v>
      </c>
      <c r="I88" s="4">
        <v>330</v>
      </c>
      <c r="J88" s="4">
        <f t="shared" si="53"/>
        <v>38326.199999999997</v>
      </c>
      <c r="K88" s="4">
        <f t="shared" si="32"/>
        <v>346.5</v>
      </c>
      <c r="L88" s="1">
        <f t="shared" si="34"/>
        <v>46089</v>
      </c>
      <c r="M88" s="21">
        <f t="shared" si="33"/>
        <v>40242.51</v>
      </c>
      <c r="N88" s="22" t="s">
        <v>98</v>
      </c>
      <c r="O88" s="2"/>
      <c r="P88" s="7">
        <f t="shared" si="54"/>
        <v>18</v>
      </c>
      <c r="Q88" s="2"/>
      <c r="R88" s="2"/>
      <c r="S88" s="2" t="s">
        <v>179</v>
      </c>
      <c r="T88" s="2"/>
      <c r="U88" s="2"/>
      <c r="V88" s="2"/>
      <c r="W88" s="23">
        <v>46108</v>
      </c>
      <c r="Y88" s="18"/>
      <c r="Z88" s="1"/>
      <c r="AA88" s="1"/>
      <c r="AB88" s="2"/>
      <c r="AC88" s="3"/>
      <c r="AD88" s="4"/>
      <c r="AE88" s="4"/>
      <c r="AF88" s="24"/>
      <c r="AG88" s="2"/>
      <c r="AH88" s="23"/>
    </row>
    <row r="89" spans="1:34" hidden="1">
      <c r="A89" t="s">
        <v>113</v>
      </c>
      <c r="B89" s="18">
        <v>85</v>
      </c>
      <c r="C89" s="1">
        <v>46073</v>
      </c>
      <c r="D89" s="1">
        <v>46073</v>
      </c>
      <c r="E89" s="2" t="s">
        <v>180</v>
      </c>
      <c r="F89" s="2"/>
      <c r="G89" s="2" t="s">
        <v>133</v>
      </c>
      <c r="H89" s="3">
        <v>106.25</v>
      </c>
      <c r="I89" s="4">
        <v>425</v>
      </c>
      <c r="J89" s="4">
        <f t="shared" si="53"/>
        <v>45156.25</v>
      </c>
      <c r="K89" s="4">
        <f t="shared" si="32"/>
        <v>446.25</v>
      </c>
      <c r="L89" s="1">
        <f t="shared" si="34"/>
        <v>46091</v>
      </c>
      <c r="M89" s="21">
        <f t="shared" si="33"/>
        <v>47414.0625</v>
      </c>
      <c r="N89" s="22" t="s">
        <v>98</v>
      </c>
      <c r="O89" s="2"/>
      <c r="P89" s="7">
        <f t="shared" si="54"/>
        <v>61</v>
      </c>
      <c r="Q89" s="2"/>
      <c r="R89" s="2"/>
      <c r="S89" s="2">
        <v>240</v>
      </c>
      <c r="T89" s="2"/>
      <c r="U89" s="2"/>
      <c r="V89" s="2"/>
      <c r="W89" s="23">
        <v>46154</v>
      </c>
      <c r="Y89" s="18"/>
      <c r="Z89" s="1"/>
      <c r="AA89" s="1"/>
      <c r="AB89" s="2"/>
      <c r="AC89" s="3"/>
      <c r="AD89" s="4"/>
      <c r="AE89" s="4"/>
      <c r="AF89" s="24"/>
      <c r="AG89" s="2"/>
      <c r="AH89" s="23"/>
    </row>
    <row r="90" spans="1:34" hidden="1">
      <c r="A90" t="s">
        <v>113</v>
      </c>
      <c r="B90" s="18">
        <v>86</v>
      </c>
      <c r="C90" s="1">
        <v>46073</v>
      </c>
      <c r="D90" s="1">
        <v>46073</v>
      </c>
      <c r="E90" s="2" t="s">
        <v>181</v>
      </c>
      <c r="F90" s="2"/>
      <c r="G90" s="2" t="s">
        <v>182</v>
      </c>
      <c r="H90" s="3">
        <v>134.34</v>
      </c>
      <c r="I90" s="4">
        <v>314.29000000000002</v>
      </c>
      <c r="J90" s="4">
        <f t="shared" si="53"/>
        <v>42221.718600000007</v>
      </c>
      <c r="K90" s="4">
        <f t="shared" si="32"/>
        <v>330.00450000000001</v>
      </c>
      <c r="L90" s="1">
        <f t="shared" si="34"/>
        <v>46091</v>
      </c>
      <c r="M90" s="21">
        <f t="shared" si="33"/>
        <v>44332.804530000001</v>
      </c>
      <c r="N90" s="22" t="s">
        <v>98</v>
      </c>
      <c r="O90" s="2"/>
      <c r="P90" s="7">
        <f t="shared" si="54"/>
        <v>40</v>
      </c>
      <c r="Q90" s="2"/>
      <c r="R90" s="2"/>
      <c r="S90" s="2">
        <v>746</v>
      </c>
      <c r="T90" s="2"/>
      <c r="U90" s="2"/>
      <c r="V90" s="2"/>
      <c r="W90" s="23">
        <v>46133</v>
      </c>
      <c r="Y90" s="18"/>
      <c r="Z90" s="1"/>
      <c r="AA90" s="1"/>
      <c r="AB90" s="2"/>
      <c r="AC90" s="3"/>
      <c r="AD90" s="4"/>
      <c r="AE90" s="4"/>
      <c r="AF90" s="24"/>
      <c r="AG90" s="2"/>
      <c r="AH90" s="23"/>
    </row>
    <row r="91" spans="1:34" hidden="1">
      <c r="A91" t="s">
        <v>113</v>
      </c>
      <c r="B91" s="18">
        <v>87</v>
      </c>
      <c r="C91" s="1">
        <v>46077</v>
      </c>
      <c r="D91" s="1">
        <v>46077</v>
      </c>
      <c r="E91" s="2" t="s">
        <v>181</v>
      </c>
      <c r="F91" s="2"/>
      <c r="G91" s="2" t="s">
        <v>182</v>
      </c>
      <c r="H91" s="3">
        <v>166.71</v>
      </c>
      <c r="I91" s="4">
        <v>314.29000000000002</v>
      </c>
      <c r="J91" s="4">
        <f t="shared" si="53"/>
        <v>52395.285900000003</v>
      </c>
      <c r="K91" s="4">
        <f t="shared" si="32"/>
        <v>330.00450000000001</v>
      </c>
      <c r="L91" s="1">
        <f t="shared" si="34"/>
        <v>46095</v>
      </c>
      <c r="M91" s="21">
        <f t="shared" si="33"/>
        <v>55015.050195000003</v>
      </c>
      <c r="N91" s="22" t="s">
        <v>98</v>
      </c>
      <c r="O91" s="2"/>
      <c r="P91" s="7">
        <f t="shared" si="54"/>
        <v>36</v>
      </c>
      <c r="Q91" s="2"/>
      <c r="R91" s="2"/>
      <c r="S91" s="2">
        <v>767</v>
      </c>
      <c r="T91" s="2"/>
      <c r="U91" s="2"/>
      <c r="V91" s="2"/>
      <c r="W91" s="23">
        <v>46133</v>
      </c>
      <c r="Y91" s="18"/>
      <c r="Z91" s="1"/>
      <c r="AA91" s="1"/>
      <c r="AB91" s="2"/>
      <c r="AC91" s="3"/>
      <c r="AD91" s="4"/>
      <c r="AE91" s="4"/>
      <c r="AF91" s="24"/>
      <c r="AG91" s="2"/>
      <c r="AH91" s="23"/>
    </row>
    <row r="92" spans="1:34" hidden="1">
      <c r="A92" t="s">
        <v>113</v>
      </c>
      <c r="B92" s="18">
        <v>88</v>
      </c>
      <c r="C92" s="1">
        <v>46082</v>
      </c>
      <c r="D92" s="1">
        <v>46080</v>
      </c>
      <c r="E92" s="2" t="s">
        <v>103</v>
      </c>
      <c r="F92" s="2"/>
      <c r="G92" s="2" t="s">
        <v>192</v>
      </c>
      <c r="H92" s="3">
        <v>500</v>
      </c>
      <c r="I92" s="4">
        <v>451.75</v>
      </c>
      <c r="J92" s="4">
        <f t="shared" si="53"/>
        <v>225875</v>
      </c>
      <c r="K92" s="4">
        <f t="shared" si="32"/>
        <v>474.33750000000003</v>
      </c>
      <c r="L92" s="1">
        <f t="shared" si="34"/>
        <v>46098</v>
      </c>
      <c r="M92" s="21">
        <f t="shared" si="33"/>
        <v>237168.75000000003</v>
      </c>
      <c r="N92" s="22" t="s">
        <v>98</v>
      </c>
      <c r="O92" s="2"/>
      <c r="P92" s="7">
        <f t="shared" si="54"/>
        <v>2</v>
      </c>
      <c r="Q92" s="2"/>
      <c r="R92" s="2"/>
      <c r="S92" s="2" t="s">
        <v>191</v>
      </c>
      <c r="T92" s="2"/>
      <c r="U92" s="2"/>
      <c r="V92" s="2"/>
      <c r="W92" s="23">
        <v>46101</v>
      </c>
      <c r="X92" t="s">
        <v>208</v>
      </c>
      <c r="Y92" s="18"/>
      <c r="Z92" s="1"/>
      <c r="AA92" s="1"/>
      <c r="AB92" s="2"/>
      <c r="AC92" s="3"/>
      <c r="AD92" s="4"/>
      <c r="AE92" s="4"/>
      <c r="AF92" s="24"/>
      <c r="AG92" s="2"/>
      <c r="AH92" s="23"/>
    </row>
    <row r="93" spans="1:34">
      <c r="A93" t="s">
        <v>113</v>
      </c>
      <c r="B93" s="18">
        <v>89</v>
      </c>
      <c r="C93" s="1">
        <v>46081</v>
      </c>
      <c r="D93" s="1">
        <v>46081</v>
      </c>
      <c r="E93" s="2" t="s">
        <v>26</v>
      </c>
      <c r="F93" s="2"/>
      <c r="G93" s="2" t="s">
        <v>170</v>
      </c>
      <c r="H93" s="3">
        <v>352</v>
      </c>
      <c r="I93" s="4">
        <v>181.09</v>
      </c>
      <c r="J93" s="4">
        <f t="shared" si="53"/>
        <v>63743.68</v>
      </c>
      <c r="K93" s="4">
        <f t="shared" si="32"/>
        <v>190.14450000000002</v>
      </c>
      <c r="L93" s="1">
        <f t="shared" si="34"/>
        <v>46099</v>
      </c>
      <c r="M93" s="21">
        <f t="shared" si="33"/>
        <v>66930.864000000001</v>
      </c>
      <c r="N93" s="22" t="s">
        <v>99</v>
      </c>
      <c r="O93" s="2"/>
      <c r="P93" s="7">
        <f t="shared" si="54"/>
        <v>25</v>
      </c>
      <c r="Q93" s="66">
        <f t="shared" ref="Q93:Q95" si="56">0.18*P93*M93/365</f>
        <v>825.17503561643844</v>
      </c>
      <c r="R93" s="2"/>
      <c r="S93" s="2" t="s">
        <v>193</v>
      </c>
      <c r="T93" s="2"/>
      <c r="U93" s="2"/>
      <c r="V93" s="2"/>
      <c r="W93" s="23">
        <v>46126</v>
      </c>
      <c r="Y93" s="18"/>
      <c r="Z93" s="1"/>
      <c r="AA93" s="1"/>
      <c r="AB93" s="2"/>
      <c r="AC93" s="3"/>
      <c r="AD93" s="4"/>
      <c r="AE93" s="4"/>
      <c r="AF93" s="24"/>
      <c r="AG93" s="2"/>
      <c r="AH93" s="23"/>
    </row>
    <row r="94" spans="1:34">
      <c r="A94" t="s">
        <v>113</v>
      </c>
      <c r="B94" s="18">
        <v>90</v>
      </c>
      <c r="C94" s="1">
        <v>46081</v>
      </c>
      <c r="D94" s="1">
        <v>46081</v>
      </c>
      <c r="E94" s="2" t="s">
        <v>26</v>
      </c>
      <c r="F94" s="2"/>
      <c r="G94" s="2" t="s">
        <v>170</v>
      </c>
      <c r="H94" s="3">
        <v>352</v>
      </c>
      <c r="I94" s="4">
        <v>181.09</v>
      </c>
      <c r="J94" s="4">
        <f t="shared" si="53"/>
        <v>63743.68</v>
      </c>
      <c r="K94" s="4">
        <f t="shared" si="32"/>
        <v>190.14450000000002</v>
      </c>
      <c r="L94" s="1">
        <f t="shared" si="34"/>
        <v>46099</v>
      </c>
      <c r="M94" s="21">
        <f t="shared" si="33"/>
        <v>66930.864000000001</v>
      </c>
      <c r="N94" s="22" t="s">
        <v>99</v>
      </c>
      <c r="O94" s="2"/>
      <c r="P94" s="7">
        <f t="shared" si="54"/>
        <v>25</v>
      </c>
      <c r="Q94" s="66">
        <f t="shared" si="56"/>
        <v>825.17503561643844</v>
      </c>
      <c r="R94" s="2"/>
      <c r="S94" s="2" t="s">
        <v>194</v>
      </c>
      <c r="T94" s="2"/>
      <c r="U94" s="2"/>
      <c r="V94" s="2"/>
      <c r="W94" s="23">
        <v>46126</v>
      </c>
      <c r="Y94" s="18"/>
      <c r="Z94" s="1"/>
      <c r="AA94" s="1"/>
      <c r="AB94" s="2"/>
      <c r="AC94" s="3"/>
      <c r="AD94" s="4"/>
      <c r="AE94" s="4"/>
      <c r="AF94" s="24"/>
      <c r="AG94" s="2"/>
      <c r="AH94" s="23"/>
    </row>
    <row r="95" spans="1:34">
      <c r="A95" t="s">
        <v>113</v>
      </c>
      <c r="B95" s="18">
        <v>91</v>
      </c>
      <c r="C95" s="1">
        <v>46081</v>
      </c>
      <c r="D95" s="1">
        <v>46081</v>
      </c>
      <c r="E95" s="2" t="s">
        <v>26</v>
      </c>
      <c r="F95" s="2"/>
      <c r="G95" s="2" t="s">
        <v>170</v>
      </c>
      <c r="H95" s="3">
        <v>352</v>
      </c>
      <c r="I95" s="4">
        <v>181.09</v>
      </c>
      <c r="J95" s="4">
        <f t="shared" si="53"/>
        <v>63743.68</v>
      </c>
      <c r="K95" s="4">
        <f t="shared" si="32"/>
        <v>190.14450000000002</v>
      </c>
      <c r="L95" s="1">
        <f t="shared" si="34"/>
        <v>46099</v>
      </c>
      <c r="M95" s="21">
        <f t="shared" si="33"/>
        <v>66930.864000000001</v>
      </c>
      <c r="N95" s="22" t="s">
        <v>99</v>
      </c>
      <c r="O95" s="2"/>
      <c r="P95" s="7">
        <f t="shared" ref="P95:P102" si="57">DAYS360(L95,W95)-(1)</f>
        <v>25</v>
      </c>
      <c r="Q95" s="66">
        <f t="shared" si="56"/>
        <v>825.17503561643844</v>
      </c>
      <c r="R95" s="2"/>
      <c r="S95" s="2" t="s">
        <v>195</v>
      </c>
      <c r="T95" s="2"/>
      <c r="U95" s="2"/>
      <c r="V95" s="2"/>
      <c r="W95" s="23">
        <v>46126</v>
      </c>
      <c r="Y95" s="18"/>
      <c r="Z95" s="1"/>
      <c r="AA95" s="1"/>
      <c r="AB95" s="2"/>
      <c r="AC95" s="3"/>
      <c r="AD95" s="4"/>
      <c r="AE95" s="4"/>
      <c r="AF95" s="24"/>
      <c r="AG95" s="2"/>
      <c r="AH95" s="23"/>
    </row>
    <row r="96" spans="1:34" hidden="1">
      <c r="A96" t="s">
        <v>113</v>
      </c>
      <c r="B96" s="18">
        <v>92</v>
      </c>
      <c r="C96" s="1">
        <v>46095</v>
      </c>
      <c r="D96" s="1">
        <v>46093</v>
      </c>
      <c r="E96" s="2" t="s">
        <v>196</v>
      </c>
      <c r="F96" s="2" t="s">
        <v>197</v>
      </c>
      <c r="G96" s="2" t="s">
        <v>167</v>
      </c>
      <c r="H96" s="3">
        <v>991.36</v>
      </c>
      <c r="I96" s="4">
        <v>257.14280000000002</v>
      </c>
      <c r="J96" s="4">
        <f t="shared" si="53"/>
        <v>254921.08620800002</v>
      </c>
      <c r="K96" s="4">
        <f t="shared" si="32"/>
        <v>269.99994000000004</v>
      </c>
      <c r="L96" s="1">
        <f t="shared" si="34"/>
        <v>46111</v>
      </c>
      <c r="M96" s="21">
        <f t="shared" si="33"/>
        <v>267667.14051840006</v>
      </c>
      <c r="N96" s="22" t="s">
        <v>256</v>
      </c>
      <c r="O96" s="2"/>
      <c r="P96" s="7">
        <f t="shared" si="57"/>
        <v>26</v>
      </c>
      <c r="Q96" s="2"/>
      <c r="R96" s="2"/>
      <c r="S96" s="2" t="s">
        <v>198</v>
      </c>
      <c r="T96" s="2"/>
      <c r="U96" s="2"/>
      <c r="V96" s="2"/>
      <c r="W96" s="23">
        <v>46139</v>
      </c>
      <c r="Y96" s="18"/>
      <c r="Z96" s="1"/>
      <c r="AA96" s="1"/>
      <c r="AB96" s="2"/>
      <c r="AC96" s="3"/>
      <c r="AD96" s="4"/>
      <c r="AE96" s="4"/>
      <c r="AF96" s="24"/>
      <c r="AG96" s="2"/>
      <c r="AH96" s="23"/>
    </row>
    <row r="97" spans="1:34" hidden="1">
      <c r="A97" t="s">
        <v>113</v>
      </c>
      <c r="B97" s="18">
        <v>93</v>
      </c>
      <c r="C97" s="1">
        <v>46093</v>
      </c>
      <c r="D97" s="1">
        <v>46093</v>
      </c>
      <c r="E97" s="2" t="s">
        <v>196</v>
      </c>
      <c r="F97" s="2" t="s">
        <v>29</v>
      </c>
      <c r="G97" s="2" t="s">
        <v>167</v>
      </c>
      <c r="H97" s="3">
        <v>984.5</v>
      </c>
      <c r="I97" s="4">
        <v>285.71429999999998</v>
      </c>
      <c r="J97" s="4">
        <f t="shared" si="53"/>
        <v>281285.72834999999</v>
      </c>
      <c r="K97" s="4">
        <f t="shared" si="32"/>
        <v>300.00001500000002</v>
      </c>
      <c r="L97" s="1">
        <f t="shared" si="34"/>
        <v>46111</v>
      </c>
      <c r="M97" s="21">
        <f t="shared" si="33"/>
        <v>295350.01476749999</v>
      </c>
      <c r="N97" s="22" t="s">
        <v>255</v>
      </c>
      <c r="O97" s="2"/>
      <c r="P97" s="7">
        <f t="shared" si="57"/>
        <v>26</v>
      </c>
      <c r="Q97" s="2"/>
      <c r="R97" s="2"/>
      <c r="S97" s="2" t="s">
        <v>199</v>
      </c>
      <c r="T97" s="2"/>
      <c r="U97" s="2"/>
      <c r="V97" s="2"/>
      <c r="W97" s="23">
        <v>46139</v>
      </c>
      <c r="Y97" s="18"/>
      <c r="Z97" s="1"/>
      <c r="AA97" s="1"/>
      <c r="AB97" s="2"/>
      <c r="AC97" s="3"/>
      <c r="AD97" s="4"/>
      <c r="AE97" s="4"/>
      <c r="AF97" s="24"/>
      <c r="AG97" s="2"/>
      <c r="AH97" s="23"/>
    </row>
    <row r="98" spans="1:34" hidden="1">
      <c r="A98" t="s">
        <v>113</v>
      </c>
      <c r="B98" s="18">
        <v>94</v>
      </c>
      <c r="C98" s="1">
        <v>46096</v>
      </c>
      <c r="D98" s="1">
        <v>46094</v>
      </c>
      <c r="E98" s="2" t="s">
        <v>196</v>
      </c>
      <c r="F98" s="2" t="s">
        <v>197</v>
      </c>
      <c r="G98" s="2" t="s">
        <v>167</v>
      </c>
      <c r="H98" s="3">
        <v>1011.01</v>
      </c>
      <c r="I98" s="4">
        <v>257.14299999999997</v>
      </c>
      <c r="J98" s="4">
        <f t="shared" si="53"/>
        <v>259974.14442999996</v>
      </c>
      <c r="K98" s="4">
        <f t="shared" si="32"/>
        <v>270.00014999999996</v>
      </c>
      <c r="L98" s="1">
        <f t="shared" si="34"/>
        <v>46112</v>
      </c>
      <c r="M98" s="21">
        <f t="shared" si="33"/>
        <v>272972.85165149998</v>
      </c>
      <c r="N98" s="22" t="s">
        <v>255</v>
      </c>
      <c r="O98" s="2"/>
      <c r="P98" s="7">
        <f t="shared" si="57"/>
        <v>26</v>
      </c>
      <c r="Q98" s="2"/>
      <c r="R98" s="2"/>
      <c r="S98" s="2" t="s">
        <v>200</v>
      </c>
      <c r="T98" s="2"/>
      <c r="U98" s="2"/>
      <c r="V98" s="2"/>
      <c r="W98" s="23">
        <v>46139</v>
      </c>
      <c r="Y98" s="18"/>
      <c r="Z98" s="1"/>
      <c r="AA98" s="1"/>
      <c r="AB98" s="2"/>
      <c r="AC98" s="3"/>
      <c r="AD98" s="4"/>
      <c r="AE98" s="4"/>
      <c r="AF98" s="24"/>
      <c r="AG98" s="2"/>
      <c r="AH98" s="23"/>
    </row>
    <row r="99" spans="1:34" hidden="1">
      <c r="A99" t="s">
        <v>113</v>
      </c>
      <c r="B99" s="18">
        <v>95</v>
      </c>
      <c r="C99" s="1">
        <v>46094</v>
      </c>
      <c r="D99" s="1">
        <v>46094</v>
      </c>
      <c r="E99" s="2" t="s">
        <v>203</v>
      </c>
      <c r="F99" s="2"/>
      <c r="G99" s="2" t="s">
        <v>133</v>
      </c>
      <c r="H99" s="3">
        <v>110.18</v>
      </c>
      <c r="I99" s="4">
        <v>440</v>
      </c>
      <c r="J99" s="4">
        <f t="shared" si="53"/>
        <v>48479.200000000004</v>
      </c>
      <c r="K99" s="4">
        <f t="shared" si="32"/>
        <v>462</v>
      </c>
      <c r="L99" s="1">
        <f t="shared" si="34"/>
        <v>46112</v>
      </c>
      <c r="M99" s="24">
        <f t="shared" si="33"/>
        <v>50903.16</v>
      </c>
      <c r="N99" s="25">
        <v>50903</v>
      </c>
      <c r="O99" s="2"/>
      <c r="P99" s="7">
        <f t="shared" si="57"/>
        <v>-45451</v>
      </c>
      <c r="Q99" s="2"/>
      <c r="R99" s="2"/>
      <c r="S99" s="2" t="s">
        <v>254</v>
      </c>
      <c r="T99" s="2"/>
      <c r="U99" s="2"/>
      <c r="V99" s="2"/>
      <c r="W99" s="23"/>
      <c r="Y99" s="18"/>
      <c r="Z99" s="1"/>
      <c r="AA99" s="1"/>
      <c r="AB99" s="2"/>
      <c r="AC99" s="3"/>
      <c r="AD99" s="4"/>
      <c r="AE99" s="4"/>
      <c r="AF99" s="24"/>
      <c r="AG99" s="2"/>
      <c r="AH99" s="23"/>
    </row>
    <row r="100" spans="1:34" hidden="1">
      <c r="A100" t="s">
        <v>113</v>
      </c>
      <c r="B100" s="18">
        <v>96</v>
      </c>
      <c r="C100" s="1">
        <v>46095</v>
      </c>
      <c r="D100" s="1">
        <v>46095</v>
      </c>
      <c r="E100" s="2" t="s">
        <v>196</v>
      </c>
      <c r="F100" s="2" t="s">
        <v>29</v>
      </c>
      <c r="G100" s="2" t="s">
        <v>167</v>
      </c>
      <c r="H100" s="3">
        <v>1000.62</v>
      </c>
      <c r="I100" s="4">
        <v>323.80950000000001</v>
      </c>
      <c r="J100" s="4">
        <f t="shared" si="53"/>
        <v>324010.26189000002</v>
      </c>
      <c r="K100" s="4">
        <f t="shared" si="32"/>
        <v>339.99997500000001</v>
      </c>
      <c r="L100" s="1">
        <f t="shared" si="34"/>
        <v>46113</v>
      </c>
      <c r="M100" s="21">
        <f t="shared" si="33"/>
        <v>340210.77498450002</v>
      </c>
      <c r="N100" s="22" t="s">
        <v>97</v>
      </c>
      <c r="O100" s="2"/>
      <c r="P100" s="7">
        <f t="shared" si="57"/>
        <v>41</v>
      </c>
      <c r="Q100" s="2"/>
      <c r="R100" s="2"/>
      <c r="S100" s="2" t="s">
        <v>253</v>
      </c>
      <c r="T100" s="2"/>
      <c r="U100" s="2"/>
      <c r="V100" s="2"/>
      <c r="W100" s="23">
        <v>46155</v>
      </c>
      <c r="Y100" s="18"/>
      <c r="Z100" s="1"/>
      <c r="AA100" s="1"/>
      <c r="AB100" s="2"/>
      <c r="AC100" s="3"/>
      <c r="AD100" s="4"/>
      <c r="AE100" s="4"/>
      <c r="AF100" s="24"/>
      <c r="AG100" s="2"/>
      <c r="AH100" s="23"/>
    </row>
    <row r="101" spans="1:34" hidden="1">
      <c r="A101" t="s">
        <v>113</v>
      </c>
      <c r="B101" s="18">
        <v>97</v>
      </c>
      <c r="C101" s="1">
        <v>46108</v>
      </c>
      <c r="D101" s="1">
        <v>46108</v>
      </c>
      <c r="E101" s="2" t="s">
        <v>196</v>
      </c>
      <c r="F101" s="2" t="s">
        <v>197</v>
      </c>
      <c r="G101" s="2" t="s">
        <v>167</v>
      </c>
      <c r="H101" s="3">
        <v>511.44</v>
      </c>
      <c r="I101" s="4">
        <v>333.33300000000003</v>
      </c>
      <c r="J101" s="4">
        <f t="shared" si="53"/>
        <v>170479.82952</v>
      </c>
      <c r="K101" s="4">
        <f t="shared" si="32"/>
        <v>349.99965000000003</v>
      </c>
      <c r="L101" s="1">
        <f t="shared" si="34"/>
        <v>46126</v>
      </c>
      <c r="M101" s="21">
        <f t="shared" si="33"/>
        <v>179003.82099600002</v>
      </c>
      <c r="N101" s="22" t="s">
        <v>97</v>
      </c>
      <c r="O101" s="2"/>
      <c r="P101" s="7">
        <f t="shared" si="57"/>
        <v>28</v>
      </c>
      <c r="Q101" s="2"/>
      <c r="R101" s="2"/>
      <c r="S101" s="2" t="s">
        <v>202</v>
      </c>
      <c r="T101" s="2"/>
      <c r="U101" s="2"/>
      <c r="V101" s="2"/>
      <c r="W101" s="23">
        <v>46155</v>
      </c>
      <c r="Y101" s="18"/>
      <c r="Z101" s="1"/>
      <c r="AA101" s="1"/>
      <c r="AB101" s="2"/>
      <c r="AC101" s="3"/>
      <c r="AD101" s="4"/>
      <c r="AE101" s="4"/>
      <c r="AF101" s="24"/>
      <c r="AG101" s="2"/>
      <c r="AH101" s="23"/>
    </row>
    <row r="102" spans="1:34" hidden="1">
      <c r="A102" t="s">
        <v>113</v>
      </c>
      <c r="B102" s="18">
        <v>98</v>
      </c>
      <c r="C102" s="1">
        <v>46109</v>
      </c>
      <c r="D102" s="1">
        <v>46109</v>
      </c>
      <c r="E102" s="2" t="s">
        <v>203</v>
      </c>
      <c r="F102" s="2"/>
      <c r="G102" s="2" t="s">
        <v>133</v>
      </c>
      <c r="H102" s="3">
        <v>93.42</v>
      </c>
      <c r="I102" s="4">
        <v>440</v>
      </c>
      <c r="J102" s="4">
        <f t="shared" si="53"/>
        <v>41104.800000000003</v>
      </c>
      <c r="K102" s="4">
        <f t="shared" si="32"/>
        <v>462</v>
      </c>
      <c r="L102" s="1">
        <f t="shared" si="34"/>
        <v>46127</v>
      </c>
      <c r="M102" s="24">
        <f t="shared" si="33"/>
        <v>43160.04</v>
      </c>
      <c r="N102" s="25">
        <v>43160</v>
      </c>
      <c r="O102" s="2"/>
      <c r="P102" s="7">
        <f t="shared" si="57"/>
        <v>-45466</v>
      </c>
      <c r="Q102" s="2"/>
      <c r="R102" s="2"/>
      <c r="S102" s="2" t="s">
        <v>204</v>
      </c>
      <c r="T102" s="2"/>
      <c r="U102" s="2"/>
      <c r="V102" s="2"/>
      <c r="W102" s="23"/>
      <c r="Y102" s="18"/>
      <c r="Z102" s="1"/>
      <c r="AA102" s="1"/>
      <c r="AB102" s="2"/>
      <c r="AC102" s="3"/>
      <c r="AD102" s="4"/>
      <c r="AE102" s="4"/>
      <c r="AF102" s="24"/>
      <c r="AG102" s="2"/>
      <c r="AH102" s="23"/>
    </row>
    <row r="103" spans="1:34" hidden="1">
      <c r="A103" t="s">
        <v>113</v>
      </c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1"/>
      <c r="M103" s="24"/>
      <c r="N103" s="25"/>
      <c r="O103" s="2"/>
      <c r="P103" s="26"/>
      <c r="Q103" s="2"/>
      <c r="R103" s="2"/>
      <c r="S103" s="2"/>
      <c r="T103" s="2"/>
      <c r="U103" s="2"/>
      <c r="V103" s="2"/>
      <c r="W103" s="23"/>
      <c r="Y103" s="18"/>
      <c r="Z103" s="1"/>
      <c r="AA103" s="1"/>
      <c r="AB103" s="2"/>
      <c r="AC103" s="3"/>
      <c r="AD103" s="4"/>
      <c r="AE103" s="4"/>
      <c r="AF103" s="24"/>
      <c r="AG103" s="2"/>
      <c r="AH103" s="23"/>
    </row>
    <row r="104" spans="1:34" hidden="1">
      <c r="A104" t="s">
        <v>113</v>
      </c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1"/>
      <c r="M104" s="24"/>
      <c r="N104" s="25"/>
      <c r="O104" s="2"/>
      <c r="P104" s="26"/>
      <c r="Q104" s="2"/>
      <c r="R104" s="2"/>
      <c r="S104" s="2"/>
      <c r="T104" s="2"/>
      <c r="U104" s="2"/>
      <c r="V104" s="2"/>
      <c r="W104" s="23"/>
      <c r="Y104" s="18"/>
      <c r="Z104" s="1"/>
      <c r="AA104" s="1"/>
      <c r="AB104" s="2"/>
      <c r="AC104" s="3"/>
      <c r="AD104" s="4"/>
      <c r="AE104" s="4"/>
      <c r="AF104" s="24"/>
      <c r="AG104" s="2"/>
      <c r="AH104" s="23"/>
    </row>
    <row r="105" spans="1:34" hidden="1">
      <c r="A105" t="s">
        <v>113</v>
      </c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1"/>
      <c r="M105" s="24"/>
      <c r="N105" s="25"/>
      <c r="O105" s="2"/>
      <c r="P105" s="26"/>
      <c r="Q105" s="2"/>
      <c r="R105" s="2"/>
      <c r="S105" s="2"/>
      <c r="T105" s="2"/>
      <c r="U105" s="2"/>
      <c r="V105" s="2"/>
      <c r="W105" s="23"/>
      <c r="Y105" s="18"/>
      <c r="Z105" s="1"/>
      <c r="AA105" s="1"/>
      <c r="AB105" s="2"/>
      <c r="AC105" s="3"/>
      <c r="AD105" s="4"/>
      <c r="AE105" s="4"/>
      <c r="AF105" s="24"/>
      <c r="AG105" s="2"/>
      <c r="AH105" s="23"/>
    </row>
    <row r="106" spans="1:34" hidden="1">
      <c r="A106" t="s">
        <v>113</v>
      </c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1"/>
      <c r="M106" s="24"/>
      <c r="N106" s="25"/>
      <c r="O106" s="2"/>
      <c r="P106" s="26"/>
      <c r="Q106" s="2"/>
      <c r="R106" s="2"/>
      <c r="S106" s="2"/>
      <c r="T106" s="2"/>
      <c r="U106" s="2"/>
      <c r="V106" s="2"/>
      <c r="W106" s="23"/>
      <c r="Y106" s="18"/>
      <c r="Z106" s="1"/>
      <c r="AA106" s="1"/>
      <c r="AB106" s="2"/>
      <c r="AC106" s="3"/>
      <c r="AD106" s="4"/>
      <c r="AE106" s="4"/>
      <c r="AF106" s="24"/>
      <c r="AG106" s="2"/>
      <c r="AH106" s="23"/>
    </row>
    <row r="107" spans="1:34" hidden="1">
      <c r="A107" t="s">
        <v>113</v>
      </c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1"/>
      <c r="M107" s="24"/>
      <c r="N107" s="25"/>
      <c r="O107" s="2"/>
      <c r="P107" s="26"/>
      <c r="Q107" s="2"/>
      <c r="R107" s="2"/>
      <c r="S107" s="2"/>
      <c r="T107" s="2"/>
      <c r="U107" s="2"/>
      <c r="V107" s="2"/>
      <c r="W107" s="23"/>
      <c r="Y107" s="18"/>
      <c r="Z107" s="1"/>
      <c r="AA107" s="1"/>
      <c r="AB107" s="2"/>
      <c r="AC107" s="3"/>
      <c r="AD107" s="4"/>
      <c r="AE107" s="4"/>
      <c r="AF107" s="24"/>
      <c r="AG107" s="2"/>
      <c r="AH107" s="23"/>
    </row>
    <row r="108" spans="1:34" ht="15.75" hidden="1" thickBot="1">
      <c r="A108" t="s">
        <v>113</v>
      </c>
      <c r="B108" s="27"/>
      <c r="C108" s="28"/>
      <c r="D108" s="28"/>
      <c r="E108" s="29"/>
      <c r="F108" s="29"/>
      <c r="G108" s="30"/>
      <c r="H108" s="31"/>
      <c r="I108" s="32"/>
      <c r="J108" s="32"/>
      <c r="K108" s="32"/>
      <c r="L108" s="28"/>
      <c r="M108" s="33"/>
      <c r="N108" s="36"/>
      <c r="O108" s="30"/>
      <c r="P108" s="34"/>
      <c r="Q108" s="30"/>
      <c r="R108" s="30"/>
      <c r="S108" s="30"/>
      <c r="T108" s="30"/>
      <c r="U108" s="30"/>
      <c r="V108" s="30"/>
      <c r="W108" s="35"/>
      <c r="Y108" s="27"/>
      <c r="Z108" s="28"/>
      <c r="AA108" s="28"/>
      <c r="AB108" s="30"/>
      <c r="AC108" s="31"/>
      <c r="AD108" s="32"/>
      <c r="AE108" s="32"/>
      <c r="AF108" s="33"/>
      <c r="AG108" s="30"/>
      <c r="AH108" s="35"/>
    </row>
    <row r="109" spans="1:34" ht="15.75" hidden="1" thickBot="1">
      <c r="A109" t="s">
        <v>113</v>
      </c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1"/>
      <c r="M109" s="33"/>
      <c r="N109" s="36"/>
      <c r="O109" s="2"/>
      <c r="P109" s="7"/>
      <c r="Q109" s="2"/>
      <c r="R109" s="2"/>
      <c r="S109" s="2"/>
      <c r="T109" s="2"/>
      <c r="U109" s="2"/>
      <c r="V109" s="2"/>
      <c r="W109" s="23"/>
      <c r="Y109" s="18"/>
      <c r="Z109" s="1"/>
      <c r="AA109" s="1"/>
      <c r="AB109" s="2"/>
      <c r="AC109" s="3"/>
      <c r="AD109" s="4"/>
      <c r="AE109" s="4"/>
      <c r="AF109" s="33"/>
      <c r="AG109" s="2"/>
      <c r="AH109" s="23"/>
    </row>
    <row r="110" spans="1:34" ht="15.75" hidden="1" thickBot="1">
      <c r="A110" t="s">
        <v>113</v>
      </c>
      <c r="B110" s="8">
        <f>(M110+T110)/H110</f>
        <v>266.36115645752199</v>
      </c>
      <c r="C110" s="9"/>
      <c r="D110" s="9"/>
      <c r="E110" s="10"/>
      <c r="F110" s="10"/>
      <c r="G110" s="84">
        <f>H110/H237</f>
        <v>0.44171576873266832</v>
      </c>
      <c r="H110" s="11">
        <f>SUM(H5:H109)</f>
        <v>47106.120000000017</v>
      </c>
      <c r="I110" s="12"/>
      <c r="J110" s="12"/>
      <c r="K110" s="12"/>
      <c r="L110" s="9"/>
      <c r="M110" s="37">
        <f>SUM(M5:M109)</f>
        <v>11763839.59942681</v>
      </c>
      <c r="N110" s="38">
        <f>SUM(N5:N109)</f>
        <v>94063</v>
      </c>
      <c r="O110" s="10"/>
      <c r="P110" s="39"/>
      <c r="Q110" s="10" t="e">
        <f>SUM(#REF!)</f>
        <v>#REF!</v>
      </c>
      <c r="R110" s="10"/>
      <c r="S110" s="10"/>
      <c r="T110" s="10">
        <f>SUM(T5:T109)</f>
        <v>783401</v>
      </c>
      <c r="U110" s="10"/>
      <c r="V110" s="10"/>
      <c r="W110" s="17"/>
      <c r="Y110" s="8"/>
      <c r="Z110" s="9"/>
      <c r="AA110" s="9"/>
      <c r="AB110" s="10"/>
      <c r="AC110" s="11">
        <f>SUM(AC5:AC109)</f>
        <v>440.07</v>
      </c>
      <c r="AD110" s="12"/>
      <c r="AE110" s="12"/>
      <c r="AF110" s="37">
        <f>SUM(AF5:AF109)</f>
        <v>65996.417760000011</v>
      </c>
      <c r="AG110" s="10"/>
      <c r="AH110" s="17"/>
    </row>
    <row r="111" spans="1:34" hidden="1">
      <c r="A111" t="s">
        <v>56</v>
      </c>
      <c r="B111" s="2"/>
      <c r="C111" s="1"/>
      <c r="D111" s="1"/>
      <c r="E111" s="2"/>
      <c r="F111" s="2"/>
      <c r="G111" s="2"/>
      <c r="H111" s="3"/>
      <c r="I111" s="4"/>
      <c r="J111" s="4"/>
      <c r="K111" s="4"/>
      <c r="L111" s="1"/>
      <c r="M111" s="5"/>
      <c r="O111" s="2"/>
      <c r="P111" s="7"/>
      <c r="Q111" s="2"/>
      <c r="R111" s="2"/>
      <c r="S111" s="2"/>
      <c r="T111" s="2"/>
      <c r="U111" s="2"/>
      <c r="V111" s="2"/>
      <c r="W111" s="1"/>
      <c r="Y111" s="2"/>
      <c r="Z111" s="1"/>
      <c r="AA111" s="1"/>
      <c r="AB111" s="2"/>
      <c r="AC111" s="3"/>
      <c r="AD111" s="4"/>
      <c r="AE111" s="4"/>
      <c r="AF111" s="5"/>
      <c r="AG111" s="2"/>
      <c r="AH111" s="1"/>
    </row>
    <row r="112" spans="1:34" hidden="1">
      <c r="A112" t="s">
        <v>114</v>
      </c>
      <c r="B112" s="147" t="s">
        <v>40</v>
      </c>
      <c r="C112" s="147"/>
      <c r="Y112" s="147" t="s">
        <v>39</v>
      </c>
      <c r="Z112" s="147"/>
    </row>
    <row r="113" spans="1:34" ht="15.75" hidden="1" thickBot="1">
      <c r="A113" t="s">
        <v>114</v>
      </c>
      <c r="B113" s="148" t="s">
        <v>34</v>
      </c>
      <c r="C113" s="148"/>
      <c r="Y113" s="148" t="s">
        <v>34</v>
      </c>
      <c r="Z113" s="148"/>
      <c r="AA113" s="1"/>
      <c r="AB113" s="2"/>
      <c r="AC113" s="3"/>
      <c r="AD113" s="4"/>
      <c r="AE113" s="4"/>
      <c r="AF113" s="5"/>
      <c r="AG113" s="2"/>
      <c r="AH113" s="1"/>
    </row>
    <row r="114" spans="1:34" ht="15.75" hidden="1" thickBot="1">
      <c r="A114" t="s">
        <v>114</v>
      </c>
      <c r="B114" s="8" t="s">
        <v>0</v>
      </c>
      <c r="C114" s="9" t="s">
        <v>1</v>
      </c>
      <c r="D114" s="9" t="s">
        <v>2</v>
      </c>
      <c r="E114" s="10" t="s">
        <v>3</v>
      </c>
      <c r="F114" s="10" t="s">
        <v>4</v>
      </c>
      <c r="G114" s="10" t="s">
        <v>5</v>
      </c>
      <c r="H114" s="11" t="s">
        <v>6</v>
      </c>
      <c r="I114" s="12" t="s">
        <v>7</v>
      </c>
      <c r="J114" s="12" t="s">
        <v>112</v>
      </c>
      <c r="K114" s="12" t="s">
        <v>8</v>
      </c>
      <c r="L114" s="9" t="s">
        <v>9</v>
      </c>
      <c r="M114" s="13" t="s">
        <v>10</v>
      </c>
      <c r="N114" s="14" t="s">
        <v>11</v>
      </c>
      <c r="O114" s="15"/>
      <c r="P114" s="16" t="s">
        <v>12</v>
      </c>
      <c r="Q114" s="15" t="s">
        <v>13</v>
      </c>
      <c r="R114" s="15" t="s">
        <v>14</v>
      </c>
      <c r="S114" s="10" t="s">
        <v>15</v>
      </c>
      <c r="T114" s="15" t="s">
        <v>16</v>
      </c>
      <c r="U114" s="10"/>
      <c r="V114" s="10" t="s">
        <v>17</v>
      </c>
      <c r="W114" s="17" t="s">
        <v>18</v>
      </c>
      <c r="Y114" s="8" t="s">
        <v>0</v>
      </c>
      <c r="Z114" s="9" t="s">
        <v>1</v>
      </c>
      <c r="AA114" s="9" t="s">
        <v>2</v>
      </c>
      <c r="AB114" s="10" t="s">
        <v>5</v>
      </c>
      <c r="AC114" s="11" t="s">
        <v>6</v>
      </c>
      <c r="AD114" s="12" t="s">
        <v>7</v>
      </c>
      <c r="AE114" s="12" t="s">
        <v>8</v>
      </c>
      <c r="AF114" s="13" t="s">
        <v>10</v>
      </c>
      <c r="AG114" s="15"/>
      <c r="AH114" s="17" t="s">
        <v>18</v>
      </c>
    </row>
    <row r="115" spans="1:34" hidden="1">
      <c r="A115" t="s">
        <v>114</v>
      </c>
      <c r="B115" s="18">
        <v>1</v>
      </c>
      <c r="C115" s="1">
        <v>45830</v>
      </c>
      <c r="D115" s="1">
        <v>45829</v>
      </c>
      <c r="E115" s="19" t="s">
        <v>19</v>
      </c>
      <c r="F115" s="19">
        <v>5148</v>
      </c>
      <c r="G115" s="2" t="s">
        <v>20</v>
      </c>
      <c r="H115" s="20">
        <v>772.87</v>
      </c>
      <c r="I115" s="4">
        <v>182.2</v>
      </c>
      <c r="J115" s="4">
        <f>H115*I115</f>
        <v>140816.91399999999</v>
      </c>
      <c r="K115" s="4">
        <f t="shared" ref="K115:K130" si="58">I115*1.12</f>
        <v>204.06399999999999</v>
      </c>
      <c r="L115" s="1">
        <f t="shared" ref="L115:L126" si="59">D115+15</f>
        <v>45844</v>
      </c>
      <c r="M115" s="21">
        <f t="shared" ref="M115:M130" si="60">H115*K115</f>
        <v>157714.94368</v>
      </c>
      <c r="N115" s="22" t="s">
        <v>98</v>
      </c>
      <c r="O115" s="2"/>
      <c r="P115" s="7">
        <f>DAYS360(L115,W115)-(1)</f>
        <v>43</v>
      </c>
      <c r="Q115" s="66">
        <f t="shared" ref="Q115" si="61">0.18*P115*M115/365</f>
        <v>3344.4209974882187</v>
      </c>
      <c r="R115" s="2"/>
      <c r="S115" s="2">
        <v>8094</v>
      </c>
      <c r="T115" s="2"/>
      <c r="U115" s="2" t="s">
        <v>107</v>
      </c>
      <c r="V115" s="1">
        <v>45946</v>
      </c>
      <c r="W115" s="23">
        <v>45889</v>
      </c>
      <c r="Y115" s="18">
        <v>1</v>
      </c>
      <c r="Z115" s="1"/>
      <c r="AA115" s="1"/>
      <c r="AB115" s="2"/>
      <c r="AC115" s="20"/>
      <c r="AD115" s="4"/>
      <c r="AE115" s="4"/>
      <c r="AF115" s="21"/>
      <c r="AG115" s="2"/>
      <c r="AH115" s="23"/>
    </row>
    <row r="116" spans="1:34">
      <c r="A116" t="s">
        <v>114</v>
      </c>
      <c r="B116" s="18">
        <v>2</v>
      </c>
      <c r="C116" s="1">
        <v>45833</v>
      </c>
      <c r="D116" s="1">
        <v>45833</v>
      </c>
      <c r="E116" s="19" t="s">
        <v>26</v>
      </c>
      <c r="F116" s="19" t="s">
        <v>27</v>
      </c>
      <c r="G116" s="2" t="s">
        <v>28</v>
      </c>
      <c r="H116" s="3">
        <v>36.28</v>
      </c>
      <c r="I116" s="4">
        <v>235</v>
      </c>
      <c r="J116" s="4">
        <f>H116*I116</f>
        <v>8525.8000000000011</v>
      </c>
      <c r="K116" s="4">
        <f t="shared" si="58"/>
        <v>263.20000000000005</v>
      </c>
      <c r="L116" s="1">
        <f>D116+15</f>
        <v>45848</v>
      </c>
      <c r="M116" s="21">
        <f t="shared" si="60"/>
        <v>9548.8960000000025</v>
      </c>
      <c r="N116" s="22" t="s">
        <v>99</v>
      </c>
      <c r="O116" s="2"/>
      <c r="P116" s="7">
        <f t="shared" ref="P116:P119" si="62">DAYS360(L116,W116)-(1)</f>
        <v>37</v>
      </c>
      <c r="Q116" s="66">
        <f t="shared" ref="Q116:Q119" si="63">0.18*P116*M116/365</f>
        <v>174.2346503013699</v>
      </c>
      <c r="S116" s="2">
        <v>7704</v>
      </c>
      <c r="T116" s="2"/>
      <c r="U116" s="2" t="s">
        <v>119</v>
      </c>
      <c r="V116" s="2"/>
      <c r="W116" s="23">
        <v>45887</v>
      </c>
      <c r="Y116" s="18">
        <v>2</v>
      </c>
      <c r="Z116" s="1"/>
      <c r="AA116" s="1"/>
      <c r="AB116" s="2"/>
      <c r="AC116" s="20"/>
      <c r="AD116" s="4"/>
      <c r="AE116" s="4"/>
      <c r="AF116" s="24"/>
      <c r="AG116" s="2"/>
      <c r="AH116" s="23"/>
    </row>
    <row r="117" spans="1:34">
      <c r="A117" t="s">
        <v>114</v>
      </c>
      <c r="B117" s="18">
        <v>3</v>
      </c>
      <c r="C117" s="1">
        <v>45834</v>
      </c>
      <c r="D117" s="1">
        <v>45834</v>
      </c>
      <c r="E117" s="19" t="s">
        <v>26</v>
      </c>
      <c r="F117" s="19" t="s">
        <v>29</v>
      </c>
      <c r="G117" s="99" t="s">
        <v>167</v>
      </c>
      <c r="H117" s="3">
        <v>1042.54</v>
      </c>
      <c r="I117" s="4">
        <v>272.32139999999998</v>
      </c>
      <c r="J117" s="4">
        <f t="shared" ref="J117:J229" si="64">H117*I117</f>
        <v>283905.95235599997</v>
      </c>
      <c r="K117" s="4">
        <f t="shared" si="58"/>
        <v>304.99996800000002</v>
      </c>
      <c r="L117" s="1">
        <f t="shared" ref="L117:L119" si="65">D117+15</f>
        <v>45849</v>
      </c>
      <c r="M117" s="21">
        <f t="shared" si="60"/>
        <v>317974.66663872002</v>
      </c>
      <c r="N117" s="22" t="s">
        <v>99</v>
      </c>
      <c r="O117" s="2"/>
      <c r="P117" s="7">
        <f t="shared" si="62"/>
        <v>36</v>
      </c>
      <c r="Q117" s="66">
        <f t="shared" si="63"/>
        <v>5645.1392871750841</v>
      </c>
      <c r="S117" s="2">
        <v>7745</v>
      </c>
      <c r="T117" s="2"/>
      <c r="U117" s="2" t="s">
        <v>119</v>
      </c>
      <c r="V117" s="2"/>
      <c r="W117" s="23">
        <v>45887</v>
      </c>
      <c r="Y117" s="18">
        <v>3</v>
      </c>
      <c r="Z117" s="1"/>
      <c r="AA117" s="1"/>
      <c r="AB117" s="2"/>
      <c r="AC117" s="3"/>
      <c r="AD117" s="4"/>
      <c r="AE117" s="4"/>
      <c r="AF117" s="24"/>
      <c r="AG117" s="2"/>
      <c r="AH117" s="23"/>
    </row>
    <row r="118" spans="1:34">
      <c r="A118" t="s">
        <v>114</v>
      </c>
      <c r="B118" s="18">
        <v>4</v>
      </c>
      <c r="C118" s="1">
        <v>45834</v>
      </c>
      <c r="D118" s="1">
        <v>45834</v>
      </c>
      <c r="E118" s="19" t="s">
        <v>26</v>
      </c>
      <c r="F118" s="19" t="s">
        <v>29</v>
      </c>
      <c r="G118" s="99" t="s">
        <v>167</v>
      </c>
      <c r="H118" s="3">
        <v>1009.36</v>
      </c>
      <c r="I118" s="4">
        <v>272.32139999999998</v>
      </c>
      <c r="J118" s="4">
        <f t="shared" si="64"/>
        <v>274870.32830399997</v>
      </c>
      <c r="K118" s="4">
        <f t="shared" si="58"/>
        <v>304.99996800000002</v>
      </c>
      <c r="L118" s="1">
        <f t="shared" si="65"/>
        <v>45849</v>
      </c>
      <c r="M118" s="21">
        <f t="shared" si="60"/>
        <v>307854.76770048001</v>
      </c>
      <c r="N118" s="22" t="s">
        <v>99</v>
      </c>
      <c r="O118" s="2"/>
      <c r="P118" s="7">
        <f t="shared" si="62"/>
        <v>36</v>
      </c>
      <c r="Q118" s="66">
        <f t="shared" si="63"/>
        <v>5465.4764238331782</v>
      </c>
      <c r="S118" s="2">
        <v>7746</v>
      </c>
      <c r="T118" s="2"/>
      <c r="U118" s="2" t="s">
        <v>119</v>
      </c>
      <c r="V118" s="2"/>
      <c r="W118" s="23">
        <v>45887</v>
      </c>
      <c r="Y118" s="18">
        <v>4</v>
      </c>
      <c r="Z118" s="1"/>
      <c r="AA118" s="1"/>
      <c r="AB118" s="2"/>
      <c r="AC118" s="3"/>
      <c r="AD118" s="4"/>
      <c r="AE118" s="4"/>
      <c r="AF118" s="24"/>
      <c r="AG118" s="2"/>
      <c r="AH118" s="23"/>
    </row>
    <row r="119" spans="1:34">
      <c r="A119" t="s">
        <v>114</v>
      </c>
      <c r="B119" s="18">
        <v>5</v>
      </c>
      <c r="C119" s="1">
        <v>45834</v>
      </c>
      <c r="D119" s="1">
        <v>45834</v>
      </c>
      <c r="E119" s="19" t="s">
        <v>26</v>
      </c>
      <c r="F119" s="19" t="s">
        <v>30</v>
      </c>
      <c r="G119" s="99" t="s">
        <v>167</v>
      </c>
      <c r="H119" s="3">
        <v>537.12</v>
      </c>
      <c r="I119" s="4">
        <v>214.28569999999999</v>
      </c>
      <c r="J119" s="4">
        <f t="shared" si="64"/>
        <v>115097.135184</v>
      </c>
      <c r="K119" s="4">
        <f t="shared" si="58"/>
        <v>239.99998400000001</v>
      </c>
      <c r="L119" s="1">
        <f t="shared" si="65"/>
        <v>45849</v>
      </c>
      <c r="M119" s="21">
        <f t="shared" si="60"/>
        <v>128908.79140608001</v>
      </c>
      <c r="N119" s="22" t="s">
        <v>99</v>
      </c>
      <c r="O119" s="2"/>
      <c r="P119" s="7">
        <f t="shared" si="62"/>
        <v>36</v>
      </c>
      <c r="Q119" s="66">
        <f t="shared" si="63"/>
        <v>2288.5725159216395</v>
      </c>
      <c r="S119" s="2">
        <v>7831</v>
      </c>
      <c r="T119" s="2"/>
      <c r="U119" s="2" t="s">
        <v>119</v>
      </c>
      <c r="V119" s="2"/>
      <c r="W119" s="23">
        <v>45887</v>
      </c>
      <c r="Y119" s="18">
        <v>5</v>
      </c>
      <c r="Z119" s="1"/>
      <c r="AA119" s="1"/>
      <c r="AB119" s="2"/>
      <c r="AC119" s="3"/>
      <c r="AD119" s="4"/>
      <c r="AE119" s="4"/>
      <c r="AF119" s="24"/>
      <c r="AG119" s="2"/>
      <c r="AH119" s="23"/>
    </row>
    <row r="120" spans="1:34" hidden="1">
      <c r="A120" t="s">
        <v>114</v>
      </c>
      <c r="B120" s="18">
        <v>6</v>
      </c>
      <c r="C120" s="1">
        <v>45834</v>
      </c>
      <c r="D120" s="1">
        <v>45834</v>
      </c>
      <c r="E120" s="19" t="s">
        <v>21</v>
      </c>
      <c r="F120" s="19"/>
      <c r="G120" s="2" t="s">
        <v>22</v>
      </c>
      <c r="H120" s="3">
        <v>352.8</v>
      </c>
      <c r="I120" s="4">
        <v>375.21699999999998</v>
      </c>
      <c r="J120" s="4">
        <f t="shared" si="64"/>
        <v>132376.5576</v>
      </c>
      <c r="K120" s="4">
        <f t="shared" si="58"/>
        <v>420.24304000000001</v>
      </c>
      <c r="L120" s="1">
        <f t="shared" ref="L120:L121" si="66">D120+17</f>
        <v>45851</v>
      </c>
      <c r="M120" s="21">
        <f t="shared" si="60"/>
        <v>148261.744512</v>
      </c>
      <c r="N120" s="22" t="s">
        <v>99</v>
      </c>
      <c r="O120" s="2"/>
      <c r="P120" s="7">
        <f t="shared" ref="P120:P121" si="67">DAYS360(L120,W120)-(1)</f>
        <v>34</v>
      </c>
      <c r="Q120" s="66">
        <f t="shared" ref="Q120:Q123" si="68">0.18*P120*M120/365</f>
        <v>2485.922949077918</v>
      </c>
      <c r="R120" s="2">
        <v>2594</v>
      </c>
      <c r="S120" s="2" t="s">
        <v>31</v>
      </c>
      <c r="T120" s="2"/>
      <c r="U120" s="2" t="s">
        <v>107</v>
      </c>
      <c r="V120" s="2"/>
      <c r="W120" s="23">
        <v>45887</v>
      </c>
      <c r="Y120" s="18">
        <v>6</v>
      </c>
      <c r="Z120" s="1"/>
      <c r="AA120" s="1"/>
      <c r="AB120" s="2"/>
      <c r="AC120" s="3"/>
      <c r="AD120" s="4"/>
      <c r="AE120" s="4"/>
      <c r="AF120" s="24"/>
      <c r="AG120" s="2"/>
      <c r="AH120" s="23"/>
    </row>
    <row r="121" spans="1:34" hidden="1">
      <c r="A121" t="s">
        <v>114</v>
      </c>
      <c r="B121" s="18">
        <v>7</v>
      </c>
      <c r="C121" s="1">
        <v>45834</v>
      </c>
      <c r="D121" s="1">
        <v>45834</v>
      </c>
      <c r="E121" s="19" t="s">
        <v>21</v>
      </c>
      <c r="F121" s="19"/>
      <c r="G121" s="2" t="s">
        <v>22</v>
      </c>
      <c r="H121" s="3">
        <v>179.2</v>
      </c>
      <c r="I121" s="4">
        <v>375.154</v>
      </c>
      <c r="J121" s="4">
        <f t="shared" si="64"/>
        <v>67227.596799999999</v>
      </c>
      <c r="K121" s="4">
        <f t="shared" si="58"/>
        <v>420.17248000000006</v>
      </c>
      <c r="L121" s="1">
        <f t="shared" si="66"/>
        <v>45851</v>
      </c>
      <c r="M121" s="21">
        <f t="shared" si="60"/>
        <v>75294.908416000006</v>
      </c>
      <c r="N121" s="22" t="s">
        <v>99</v>
      </c>
      <c r="O121" s="2"/>
      <c r="P121" s="7">
        <f t="shared" si="67"/>
        <v>34</v>
      </c>
      <c r="Q121" s="66">
        <f t="shared" si="68"/>
        <v>1262.4790123449866</v>
      </c>
      <c r="R121" s="2">
        <v>1317</v>
      </c>
      <c r="S121" s="2" t="s">
        <v>32</v>
      </c>
      <c r="T121" s="2"/>
      <c r="U121" s="2" t="s">
        <v>107</v>
      </c>
      <c r="V121" s="2"/>
      <c r="W121" s="23">
        <v>45887</v>
      </c>
      <c r="Y121" s="18">
        <v>7</v>
      </c>
      <c r="Z121" s="1"/>
      <c r="AA121" s="1"/>
      <c r="AB121" s="2"/>
      <c r="AC121" s="3"/>
      <c r="AD121" s="4"/>
      <c r="AE121" s="4"/>
      <c r="AF121" s="24"/>
      <c r="AG121" s="2"/>
      <c r="AH121" s="23"/>
    </row>
    <row r="122" spans="1:34">
      <c r="A122" t="s">
        <v>114</v>
      </c>
      <c r="B122" s="18">
        <v>8</v>
      </c>
      <c r="C122" s="1">
        <v>45835</v>
      </c>
      <c r="D122" s="1">
        <v>45835</v>
      </c>
      <c r="E122" s="19" t="s">
        <v>26</v>
      </c>
      <c r="F122" s="19" t="s">
        <v>36</v>
      </c>
      <c r="G122" s="2" t="s">
        <v>35</v>
      </c>
      <c r="H122" s="3">
        <v>500</v>
      </c>
      <c r="I122" s="4">
        <v>416.9</v>
      </c>
      <c r="J122" s="4">
        <f t="shared" si="64"/>
        <v>208450</v>
      </c>
      <c r="K122" s="4">
        <f t="shared" si="58"/>
        <v>466.928</v>
      </c>
      <c r="L122" s="1">
        <f>D122+15</f>
        <v>45850</v>
      </c>
      <c r="M122" s="21">
        <f t="shared" si="60"/>
        <v>233464</v>
      </c>
      <c r="N122" s="22" t="s">
        <v>99</v>
      </c>
      <c r="O122" s="2"/>
      <c r="P122" s="7">
        <f>DAYS360(L122,W122)-(1)</f>
        <v>35</v>
      </c>
      <c r="Q122" s="66">
        <f t="shared" si="68"/>
        <v>4029.6526027397258</v>
      </c>
      <c r="S122" s="2">
        <v>7961</v>
      </c>
      <c r="T122" s="2"/>
      <c r="U122" s="2" t="s">
        <v>119</v>
      </c>
      <c r="V122" s="2"/>
      <c r="W122" s="23">
        <v>45887</v>
      </c>
      <c r="Y122" s="18">
        <v>8</v>
      </c>
      <c r="Z122" s="1"/>
      <c r="AA122" s="1"/>
      <c r="AB122" s="2"/>
      <c r="AC122" s="3"/>
      <c r="AD122" s="4"/>
      <c r="AE122" s="4"/>
      <c r="AF122" s="24"/>
      <c r="AG122" s="2"/>
      <c r="AH122" s="23"/>
    </row>
    <row r="123" spans="1:34" hidden="1">
      <c r="A123" t="s">
        <v>114</v>
      </c>
      <c r="B123" s="18">
        <v>9</v>
      </c>
      <c r="C123" s="1">
        <v>45836</v>
      </c>
      <c r="D123" s="1">
        <v>45835</v>
      </c>
      <c r="E123" s="19" t="s">
        <v>19</v>
      </c>
      <c r="F123" s="19">
        <v>5148</v>
      </c>
      <c r="G123" s="2" t="s">
        <v>20</v>
      </c>
      <c r="H123" s="3">
        <v>760.01</v>
      </c>
      <c r="I123" s="4">
        <v>182.2</v>
      </c>
      <c r="J123" s="4">
        <f t="shared" si="64"/>
        <v>138473.82199999999</v>
      </c>
      <c r="K123" s="4">
        <f t="shared" si="58"/>
        <v>204.06399999999999</v>
      </c>
      <c r="L123" s="1">
        <f t="shared" si="59"/>
        <v>45850</v>
      </c>
      <c r="M123" s="21">
        <f t="shared" si="60"/>
        <v>155090.68064000001</v>
      </c>
      <c r="N123" s="22" t="s">
        <v>98</v>
      </c>
      <c r="O123" s="2"/>
      <c r="P123" s="7">
        <f>DAYS360(L123,W123)-(1)</f>
        <v>37</v>
      </c>
      <c r="Q123" s="66">
        <f t="shared" si="68"/>
        <v>2829.8737892120548</v>
      </c>
      <c r="R123" s="2"/>
      <c r="S123" s="2">
        <v>8770</v>
      </c>
      <c r="T123" s="2"/>
      <c r="U123" s="2" t="s">
        <v>107</v>
      </c>
      <c r="V123" s="1">
        <v>45946</v>
      </c>
      <c r="W123" s="23">
        <v>45889</v>
      </c>
      <c r="Y123" s="18">
        <v>9</v>
      </c>
      <c r="Z123" s="1"/>
      <c r="AA123" s="1"/>
      <c r="AB123" s="2"/>
      <c r="AC123" s="3"/>
      <c r="AD123" s="4"/>
      <c r="AE123" s="4"/>
      <c r="AF123" s="24"/>
      <c r="AG123" s="2"/>
      <c r="AH123" s="23"/>
    </row>
    <row r="124" spans="1:34">
      <c r="A124" t="s">
        <v>114</v>
      </c>
      <c r="B124" s="46">
        <v>10</v>
      </c>
      <c r="C124" s="47">
        <v>45836</v>
      </c>
      <c r="D124" s="47">
        <v>45832</v>
      </c>
      <c r="E124" s="48" t="s">
        <v>26</v>
      </c>
      <c r="F124" s="48" t="s">
        <v>38</v>
      </c>
      <c r="G124" s="49" t="s">
        <v>37</v>
      </c>
      <c r="H124" s="50">
        <v>440.07</v>
      </c>
      <c r="I124" s="51">
        <v>133.9</v>
      </c>
      <c r="J124" s="4">
        <f t="shared" si="64"/>
        <v>58925.373</v>
      </c>
      <c r="K124" s="51">
        <f t="shared" si="58"/>
        <v>149.96800000000002</v>
      </c>
      <c r="L124" s="1">
        <f>D124+18</f>
        <v>45850</v>
      </c>
      <c r="M124" s="75">
        <f t="shared" si="60"/>
        <v>65996.417760000011</v>
      </c>
      <c r="N124" s="76" t="s">
        <v>99</v>
      </c>
      <c r="O124" s="49"/>
      <c r="P124" s="7">
        <f>DAYS360(L124,W124)-(1)</f>
        <v>95</v>
      </c>
      <c r="Q124" s="66">
        <f t="shared" ref="Q124" si="69">0.18*P124*M124/365</f>
        <v>3091.8869690301367</v>
      </c>
      <c r="R124" s="49"/>
      <c r="S124" s="49">
        <v>7573</v>
      </c>
      <c r="T124" s="49"/>
      <c r="U124" s="49"/>
      <c r="V124" s="49"/>
      <c r="W124" s="54">
        <v>45948</v>
      </c>
      <c r="X124" s="55"/>
      <c r="Y124" s="56">
        <v>10</v>
      </c>
      <c r="Z124" s="47"/>
      <c r="AA124" s="47"/>
      <c r="AB124" s="49"/>
      <c r="AC124" s="50">
        <v>440.07</v>
      </c>
      <c r="AD124" s="51">
        <v>133.9</v>
      </c>
      <c r="AE124" s="51">
        <f t="shared" ref="AE124" si="70">AD124*1.12</f>
        <v>149.96800000000002</v>
      </c>
      <c r="AF124" s="52">
        <f t="shared" ref="AF124" si="71">AC124*AE124</f>
        <v>65996.417760000011</v>
      </c>
      <c r="AG124" s="49"/>
      <c r="AH124" s="57"/>
    </row>
    <row r="125" spans="1:34" hidden="1">
      <c r="A125" t="s">
        <v>114</v>
      </c>
      <c r="B125" s="18">
        <v>11</v>
      </c>
      <c r="C125" s="1">
        <v>45837</v>
      </c>
      <c r="D125" s="1">
        <v>45837</v>
      </c>
      <c r="E125" s="19" t="s">
        <v>21</v>
      </c>
      <c r="F125" s="19"/>
      <c r="G125" s="2" t="s">
        <v>22</v>
      </c>
      <c r="H125" s="3">
        <v>364</v>
      </c>
      <c r="I125" s="4">
        <v>375.09500000000003</v>
      </c>
      <c r="J125" s="4">
        <f t="shared" si="64"/>
        <v>136534.58000000002</v>
      </c>
      <c r="K125" s="4">
        <f t="shared" si="58"/>
        <v>420.10640000000006</v>
      </c>
      <c r="L125" s="1">
        <f>D125+17</f>
        <v>45854</v>
      </c>
      <c r="M125" s="21">
        <f t="shared" si="60"/>
        <v>152918.72960000002</v>
      </c>
      <c r="N125" s="22" t="s">
        <v>99</v>
      </c>
      <c r="O125" s="2"/>
      <c r="P125" s="7">
        <f>DAYS360(L125,W125)-(1)</f>
        <v>31</v>
      </c>
      <c r="Q125" s="66">
        <f t="shared" ref="Q125:Q126" si="72">0.18*P125*M125/365</f>
        <v>2337.7712634739732</v>
      </c>
      <c r="R125" s="2">
        <v>2446</v>
      </c>
      <c r="S125" s="2" t="s">
        <v>41</v>
      </c>
      <c r="T125" s="2"/>
      <c r="U125" s="2" t="s">
        <v>107</v>
      </c>
      <c r="V125" s="2"/>
      <c r="W125" s="23">
        <v>45887</v>
      </c>
      <c r="Y125" s="18">
        <v>11</v>
      </c>
      <c r="Z125" s="1"/>
      <c r="AA125" s="1"/>
      <c r="AB125" s="2"/>
      <c r="AC125" s="3"/>
      <c r="AD125" s="4"/>
      <c r="AE125" s="4"/>
      <c r="AF125" s="24"/>
      <c r="AG125" s="2"/>
      <c r="AH125" s="23"/>
    </row>
    <row r="126" spans="1:34" hidden="1">
      <c r="A126" t="s">
        <v>114</v>
      </c>
      <c r="B126" s="18">
        <v>12</v>
      </c>
      <c r="C126" s="1">
        <v>45839</v>
      </c>
      <c r="D126" s="1">
        <v>45838</v>
      </c>
      <c r="E126" s="19" t="s">
        <v>19</v>
      </c>
      <c r="F126" s="19">
        <v>5148</v>
      </c>
      <c r="G126" s="2" t="s">
        <v>20</v>
      </c>
      <c r="H126" s="3">
        <v>773.71</v>
      </c>
      <c r="I126" s="4">
        <v>182.2</v>
      </c>
      <c r="J126" s="4">
        <f t="shared" si="64"/>
        <v>140969.962</v>
      </c>
      <c r="K126" s="4">
        <f t="shared" si="58"/>
        <v>204.06399999999999</v>
      </c>
      <c r="L126" s="1">
        <f t="shared" si="59"/>
        <v>45853</v>
      </c>
      <c r="M126" s="21">
        <f t="shared" si="60"/>
        <v>157886.35743999999</v>
      </c>
      <c r="N126" s="22" t="s">
        <v>98</v>
      </c>
      <c r="O126" s="2"/>
      <c r="P126" s="7">
        <f>DAYS360(L126,W126)-(1)</f>
        <v>34</v>
      </c>
      <c r="Q126" s="66">
        <f t="shared" si="72"/>
        <v>2647.3000206378083</v>
      </c>
      <c r="R126" s="2"/>
      <c r="S126" s="2">
        <v>9079</v>
      </c>
      <c r="T126" s="2"/>
      <c r="U126" s="2" t="s">
        <v>107</v>
      </c>
      <c r="V126" s="1">
        <v>45946</v>
      </c>
      <c r="W126" s="23">
        <v>45889</v>
      </c>
      <c r="Y126" s="18">
        <v>12</v>
      </c>
      <c r="Z126" s="40"/>
      <c r="AA126" s="40"/>
      <c r="AB126" s="42"/>
      <c r="AC126" s="43"/>
      <c r="AD126" s="44"/>
      <c r="AE126" s="44"/>
      <c r="AF126" s="24"/>
      <c r="AG126" s="2"/>
      <c r="AH126" s="23"/>
    </row>
    <row r="127" spans="1:34" hidden="1">
      <c r="A127" t="s">
        <v>114</v>
      </c>
      <c r="B127" s="18">
        <v>13</v>
      </c>
      <c r="C127" s="1">
        <v>45842</v>
      </c>
      <c r="D127" s="1">
        <v>45842</v>
      </c>
      <c r="E127" s="19" t="s">
        <v>21</v>
      </c>
      <c r="F127" s="19"/>
      <c r="G127" s="2" t="s">
        <v>22</v>
      </c>
      <c r="H127" s="3">
        <v>165.2</v>
      </c>
      <c r="I127" s="4">
        <v>379.72300000000001</v>
      </c>
      <c r="J127" s="4">
        <f t="shared" si="64"/>
        <v>62730.239600000001</v>
      </c>
      <c r="K127" s="4">
        <f t="shared" si="58"/>
        <v>425.28976000000006</v>
      </c>
      <c r="L127" s="1">
        <f t="shared" ref="L127:L131" si="73">D127+17</f>
        <v>45859</v>
      </c>
      <c r="M127" s="21">
        <f t="shared" si="60"/>
        <v>70257.868352000005</v>
      </c>
      <c r="N127" s="22" t="s">
        <v>99</v>
      </c>
      <c r="O127" s="2"/>
      <c r="P127" s="7">
        <f t="shared" ref="P127:P131" si="74">DAYS360(L127,W127)-(1)</f>
        <v>26</v>
      </c>
      <c r="Q127" s="66">
        <f t="shared" ref="Q127:Q139" si="75">0.18*P127*M127/365</f>
        <v>900.84061339002733</v>
      </c>
      <c r="R127" s="2">
        <v>948</v>
      </c>
      <c r="S127" s="2" t="s">
        <v>52</v>
      </c>
      <c r="T127" s="2"/>
      <c r="U127" s="2" t="s">
        <v>107</v>
      </c>
      <c r="V127" s="2"/>
      <c r="W127" s="23">
        <v>45887</v>
      </c>
      <c r="Y127" s="18"/>
      <c r="Z127" s="1"/>
      <c r="AA127" s="1"/>
      <c r="AB127" s="2"/>
      <c r="AC127" s="3"/>
      <c r="AD127" s="4"/>
      <c r="AE127" s="4"/>
      <c r="AF127" s="24"/>
      <c r="AG127" s="2"/>
      <c r="AH127" s="23"/>
    </row>
    <row r="128" spans="1:34" hidden="1">
      <c r="A128" t="s">
        <v>114</v>
      </c>
      <c r="B128" s="18">
        <v>14</v>
      </c>
      <c r="C128" s="1">
        <v>45842</v>
      </c>
      <c r="D128" s="1">
        <v>45842</v>
      </c>
      <c r="E128" s="19" t="s">
        <v>21</v>
      </c>
      <c r="F128" s="19"/>
      <c r="G128" s="2" t="s">
        <v>22</v>
      </c>
      <c r="H128" s="3">
        <v>165.2</v>
      </c>
      <c r="I128" s="4">
        <v>379.72300000000001</v>
      </c>
      <c r="J128" s="4">
        <f t="shared" si="64"/>
        <v>62730.239600000001</v>
      </c>
      <c r="K128" s="4">
        <f t="shared" si="58"/>
        <v>425.28976000000006</v>
      </c>
      <c r="L128" s="1">
        <f t="shared" si="73"/>
        <v>45859</v>
      </c>
      <c r="M128" s="21">
        <f t="shared" si="60"/>
        <v>70257.868352000005</v>
      </c>
      <c r="N128" s="22" t="s">
        <v>99</v>
      </c>
      <c r="O128" s="2"/>
      <c r="P128" s="7">
        <f t="shared" si="74"/>
        <v>26</v>
      </c>
      <c r="Q128" s="66">
        <f t="shared" si="75"/>
        <v>900.84061339002733</v>
      </c>
      <c r="R128" s="2">
        <v>948</v>
      </c>
      <c r="S128" s="2" t="s">
        <v>50</v>
      </c>
      <c r="T128" s="2"/>
      <c r="U128" s="2" t="s">
        <v>107</v>
      </c>
      <c r="V128" s="2"/>
      <c r="W128" s="23">
        <v>45887</v>
      </c>
      <c r="Y128" s="18"/>
      <c r="Z128" s="1"/>
      <c r="AA128" s="1"/>
      <c r="AB128" s="2"/>
      <c r="AC128" s="3"/>
      <c r="AD128" s="4"/>
      <c r="AE128" s="4"/>
      <c r="AF128" s="24"/>
      <c r="AG128" s="2"/>
      <c r="AH128" s="23"/>
    </row>
    <row r="129" spans="1:34" hidden="1">
      <c r="A129" t="s">
        <v>114</v>
      </c>
      <c r="B129" s="18">
        <v>15</v>
      </c>
      <c r="C129" s="1">
        <v>45842</v>
      </c>
      <c r="D129" s="1">
        <v>45842</v>
      </c>
      <c r="E129" s="19" t="s">
        <v>21</v>
      </c>
      <c r="F129" s="19"/>
      <c r="G129" s="2" t="s">
        <v>22</v>
      </c>
      <c r="H129" s="3">
        <v>165.2</v>
      </c>
      <c r="I129" s="4">
        <v>379.72300000000001</v>
      </c>
      <c r="J129" s="4">
        <f t="shared" si="64"/>
        <v>62730.239600000001</v>
      </c>
      <c r="K129" s="4">
        <f t="shared" si="58"/>
        <v>425.28976000000006</v>
      </c>
      <c r="L129" s="1">
        <f t="shared" si="73"/>
        <v>45859</v>
      </c>
      <c r="M129" s="21">
        <f t="shared" si="60"/>
        <v>70257.868352000005</v>
      </c>
      <c r="N129" s="22" t="s">
        <v>99</v>
      </c>
      <c r="O129" s="2"/>
      <c r="P129" s="7">
        <f t="shared" si="74"/>
        <v>26</v>
      </c>
      <c r="Q129" s="66">
        <f t="shared" si="75"/>
        <v>900.84061339002733</v>
      </c>
      <c r="R129" s="2">
        <v>948</v>
      </c>
      <c r="S129" s="2" t="s">
        <v>51</v>
      </c>
      <c r="T129" s="2"/>
      <c r="U129" s="2" t="s">
        <v>107</v>
      </c>
      <c r="V129" s="2"/>
      <c r="W129" s="23">
        <v>45887</v>
      </c>
      <c r="Y129" s="18"/>
      <c r="Z129" s="1"/>
      <c r="AA129" s="1"/>
      <c r="AB129" s="2"/>
      <c r="AC129" s="3"/>
      <c r="AD129" s="4"/>
      <c r="AE129" s="4"/>
      <c r="AF129" s="24"/>
      <c r="AG129" s="2"/>
      <c r="AH129" s="23"/>
    </row>
    <row r="130" spans="1:34" hidden="1">
      <c r="A130" t="s">
        <v>114</v>
      </c>
      <c r="B130" s="18">
        <v>16</v>
      </c>
      <c r="C130" s="1">
        <v>45843</v>
      </c>
      <c r="D130" s="1">
        <v>45843</v>
      </c>
      <c r="E130" s="19" t="s">
        <v>21</v>
      </c>
      <c r="F130" s="19"/>
      <c r="G130" s="2" t="s">
        <v>22</v>
      </c>
      <c r="H130" s="3">
        <v>165.2</v>
      </c>
      <c r="I130" s="4">
        <v>379.72300000000001</v>
      </c>
      <c r="J130" s="4">
        <f t="shared" si="64"/>
        <v>62730.239600000001</v>
      </c>
      <c r="K130" s="4">
        <f t="shared" si="58"/>
        <v>425.28976000000006</v>
      </c>
      <c r="L130" s="1">
        <f t="shared" si="73"/>
        <v>45860</v>
      </c>
      <c r="M130" s="21">
        <f t="shared" si="60"/>
        <v>70257.868352000005</v>
      </c>
      <c r="N130" s="22" t="s">
        <v>99</v>
      </c>
      <c r="O130" s="2"/>
      <c r="P130" s="7">
        <f t="shared" si="74"/>
        <v>25</v>
      </c>
      <c r="Q130" s="66">
        <f t="shared" si="75"/>
        <v>866.19289749041104</v>
      </c>
      <c r="R130" s="2">
        <v>913</v>
      </c>
      <c r="S130" s="2" t="s">
        <v>53</v>
      </c>
      <c r="T130" s="2"/>
      <c r="U130" s="2" t="s">
        <v>107</v>
      </c>
      <c r="V130" s="2"/>
      <c r="W130" s="23">
        <v>45887</v>
      </c>
      <c r="Y130" s="18"/>
      <c r="Z130" s="1"/>
      <c r="AA130" s="1"/>
      <c r="AB130" s="2"/>
      <c r="AC130" s="3"/>
      <c r="AD130" s="4"/>
      <c r="AE130" s="4"/>
      <c r="AF130" s="24"/>
      <c r="AG130" s="2"/>
      <c r="AH130" s="23"/>
    </row>
    <row r="131" spans="1:34" hidden="1">
      <c r="A131" t="s">
        <v>114</v>
      </c>
      <c r="B131" s="18">
        <v>17</v>
      </c>
      <c r="C131" s="1">
        <v>45843</v>
      </c>
      <c r="D131" s="1">
        <v>45843</v>
      </c>
      <c r="E131" s="19" t="s">
        <v>21</v>
      </c>
      <c r="F131" s="19"/>
      <c r="G131" s="2" t="s">
        <v>22</v>
      </c>
      <c r="H131" s="3">
        <v>165.2</v>
      </c>
      <c r="I131" s="4">
        <v>379.72300000000001</v>
      </c>
      <c r="J131" s="4">
        <f t="shared" si="64"/>
        <v>62730.239600000001</v>
      </c>
      <c r="K131" s="4">
        <f t="shared" ref="K131:K152" si="76">I131*1.12</f>
        <v>425.28976000000006</v>
      </c>
      <c r="L131" s="1">
        <f t="shared" si="73"/>
        <v>45860</v>
      </c>
      <c r="M131" s="21">
        <f t="shared" ref="M131:M229" si="77">H131*K131</f>
        <v>70257.868352000005</v>
      </c>
      <c r="N131" s="22" t="s">
        <v>99</v>
      </c>
      <c r="O131" s="2"/>
      <c r="P131" s="7">
        <f t="shared" si="74"/>
        <v>25</v>
      </c>
      <c r="Q131" s="66">
        <f t="shared" si="75"/>
        <v>866.19289749041104</v>
      </c>
      <c r="R131" s="2">
        <v>913</v>
      </c>
      <c r="S131" s="2" t="s">
        <v>54</v>
      </c>
      <c r="T131" s="2"/>
      <c r="U131" s="2" t="s">
        <v>107</v>
      </c>
      <c r="V131" s="2"/>
      <c r="W131" s="23">
        <v>45887</v>
      </c>
      <c r="Y131" s="18"/>
      <c r="Z131" s="1"/>
      <c r="AA131" s="1"/>
      <c r="AB131" s="2"/>
      <c r="AC131" s="3"/>
      <c r="AD131" s="4"/>
      <c r="AE131" s="4"/>
      <c r="AF131" s="24"/>
      <c r="AG131" s="2"/>
      <c r="AH131" s="23"/>
    </row>
    <row r="132" spans="1:34" hidden="1">
      <c r="A132" t="s">
        <v>114</v>
      </c>
      <c r="B132" s="18">
        <v>18</v>
      </c>
      <c r="C132" s="1">
        <v>45824</v>
      </c>
      <c r="D132" s="1">
        <v>45846</v>
      </c>
      <c r="E132" s="19" t="s">
        <v>19</v>
      </c>
      <c r="F132" s="19">
        <v>5148</v>
      </c>
      <c r="G132" s="2" t="s">
        <v>20</v>
      </c>
      <c r="H132" s="3">
        <v>773.96</v>
      </c>
      <c r="I132" s="4">
        <v>182.2</v>
      </c>
      <c r="J132" s="4">
        <f t="shared" si="64"/>
        <v>141015.51199999999</v>
      </c>
      <c r="K132" s="4">
        <f t="shared" si="76"/>
        <v>204.06399999999999</v>
      </c>
      <c r="L132" s="1">
        <f t="shared" ref="L132:L174" si="78">D132+15</f>
        <v>45861</v>
      </c>
      <c r="M132" s="21">
        <f t="shared" si="77"/>
        <v>157937.37344</v>
      </c>
      <c r="N132" s="22" t="s">
        <v>98</v>
      </c>
      <c r="O132" s="2"/>
      <c r="P132" s="7">
        <f>DAYS360(L132,W132)-(1)</f>
        <v>26</v>
      </c>
      <c r="Q132" s="66">
        <f t="shared" si="75"/>
        <v>2025.0600210936987</v>
      </c>
      <c r="R132" s="2"/>
      <c r="S132" s="2">
        <v>9407</v>
      </c>
      <c r="T132" s="2"/>
      <c r="U132" s="2" t="s">
        <v>107</v>
      </c>
      <c r="V132" s="1">
        <v>45946</v>
      </c>
      <c r="W132" s="23">
        <v>45889</v>
      </c>
      <c r="Y132" s="18"/>
      <c r="Z132" s="1"/>
      <c r="AA132" s="1"/>
      <c r="AB132" s="2"/>
      <c r="AC132" s="3"/>
      <c r="AD132" s="4"/>
      <c r="AE132" s="4"/>
      <c r="AF132" s="24"/>
      <c r="AG132" s="2"/>
      <c r="AH132" s="23"/>
    </row>
    <row r="133" spans="1:34" hidden="1">
      <c r="A133" t="s">
        <v>114</v>
      </c>
      <c r="B133" s="18">
        <v>19</v>
      </c>
      <c r="C133" s="1">
        <v>45849</v>
      </c>
      <c r="D133" s="1">
        <v>45849</v>
      </c>
      <c r="E133" s="19" t="s">
        <v>21</v>
      </c>
      <c r="F133" s="19"/>
      <c r="G133" s="2" t="s">
        <v>22</v>
      </c>
      <c r="H133" s="3">
        <v>187.6</v>
      </c>
      <c r="I133" s="4">
        <v>378.71199999999999</v>
      </c>
      <c r="J133" s="4">
        <f t="shared" si="64"/>
        <v>71046.371199999994</v>
      </c>
      <c r="K133" s="4">
        <f t="shared" si="76"/>
        <v>424.15744000000001</v>
      </c>
      <c r="L133" s="1">
        <f>D133+17</f>
        <v>45866</v>
      </c>
      <c r="M133" s="21">
        <f t="shared" si="77"/>
        <v>79571.935744000002</v>
      </c>
      <c r="N133" s="22" t="s">
        <v>99</v>
      </c>
      <c r="O133" s="2"/>
      <c r="P133" s="7">
        <f>DAYS360(L133,W133)-(1)</f>
        <v>19</v>
      </c>
      <c r="Q133" s="66">
        <f t="shared" si="75"/>
        <v>745.57813765610956</v>
      </c>
      <c r="R133" s="2">
        <v>795</v>
      </c>
      <c r="S133" s="2" t="s">
        <v>55</v>
      </c>
      <c r="T133" s="2"/>
      <c r="U133" s="2" t="s">
        <v>107</v>
      </c>
      <c r="V133" s="2"/>
      <c r="W133" s="23">
        <v>45887</v>
      </c>
      <c r="Y133" s="18"/>
      <c r="Z133" s="1"/>
      <c r="AA133" s="1"/>
      <c r="AB133" s="2"/>
      <c r="AC133" s="3"/>
      <c r="AD133" s="4"/>
      <c r="AE133" s="4"/>
      <c r="AF133" s="24"/>
      <c r="AG133" s="2"/>
      <c r="AH133" s="23"/>
    </row>
    <row r="134" spans="1:34">
      <c r="A134" t="s">
        <v>114</v>
      </c>
      <c r="B134" s="18">
        <v>20</v>
      </c>
      <c r="C134" s="1">
        <v>45856</v>
      </c>
      <c r="D134" s="1">
        <v>45856</v>
      </c>
      <c r="E134" s="19" t="s">
        <v>26</v>
      </c>
      <c r="F134" s="19"/>
      <c r="G134" s="99" t="s">
        <v>167</v>
      </c>
      <c r="H134" s="3">
        <v>1019.16</v>
      </c>
      <c r="I134" s="4">
        <v>272.32139999999998</v>
      </c>
      <c r="J134" s="4">
        <f t="shared" si="64"/>
        <v>277539.07802399999</v>
      </c>
      <c r="K134" s="4">
        <f t="shared" si="76"/>
        <v>304.99996800000002</v>
      </c>
      <c r="L134" s="1">
        <f>D134+18</f>
        <v>45874</v>
      </c>
      <c r="M134" s="21">
        <f t="shared" si="77"/>
        <v>310843.76738688</v>
      </c>
      <c r="N134" s="22" t="s">
        <v>99</v>
      </c>
      <c r="O134" s="2"/>
      <c r="P134" s="7">
        <f>DAYS360(L134,W134)-(1)</f>
        <v>72</v>
      </c>
      <c r="Q134" s="66">
        <f t="shared" si="75"/>
        <v>11037.08280913415</v>
      </c>
      <c r="R134" s="2"/>
      <c r="S134" s="2">
        <v>9980</v>
      </c>
      <c r="T134" s="2"/>
      <c r="U134" s="2"/>
      <c r="V134" s="2"/>
      <c r="W134" s="23">
        <v>45948</v>
      </c>
      <c r="Y134" s="18"/>
      <c r="Z134" s="1"/>
      <c r="AA134" s="1"/>
      <c r="AB134" s="2"/>
      <c r="AC134" s="3"/>
      <c r="AD134" s="4"/>
      <c r="AE134" s="4"/>
      <c r="AF134" s="24"/>
      <c r="AG134" s="2"/>
      <c r="AH134" s="23"/>
    </row>
    <row r="135" spans="1:34" hidden="1">
      <c r="A135" t="s">
        <v>114</v>
      </c>
      <c r="B135" s="18">
        <v>21</v>
      </c>
      <c r="C135" s="1">
        <v>45862</v>
      </c>
      <c r="D135" s="1">
        <v>45859</v>
      </c>
      <c r="E135" s="19" t="s">
        <v>19</v>
      </c>
      <c r="F135" s="19">
        <v>110</v>
      </c>
      <c r="G135" s="99" t="s">
        <v>166</v>
      </c>
      <c r="H135" s="3">
        <v>386.17</v>
      </c>
      <c r="I135" s="4">
        <v>186.2</v>
      </c>
      <c r="J135" s="4">
        <f t="shared" si="64"/>
        <v>71904.853999999992</v>
      </c>
      <c r="K135" s="4">
        <f t="shared" si="76"/>
        <v>208.54400000000001</v>
      </c>
      <c r="L135" s="1">
        <f>C135+16</f>
        <v>45878</v>
      </c>
      <c r="M135" s="21">
        <f t="shared" si="77"/>
        <v>80533.436480000004</v>
      </c>
      <c r="N135" s="22" t="s">
        <v>98</v>
      </c>
      <c r="O135" s="2"/>
      <c r="P135" s="7">
        <f t="shared" ref="P135:P138" si="79">DAYS360(L135,W135)-(1)</f>
        <v>66</v>
      </c>
      <c r="Q135" s="66">
        <f t="shared" si="75"/>
        <v>2621.1978777599998</v>
      </c>
      <c r="R135" s="2"/>
      <c r="S135" s="2">
        <v>11427</v>
      </c>
      <c r="T135" s="2"/>
      <c r="U135" s="2" t="s">
        <v>107</v>
      </c>
      <c r="V135" s="1">
        <v>45994</v>
      </c>
      <c r="W135" s="23">
        <v>45946</v>
      </c>
      <c r="Y135" s="18"/>
      <c r="Z135" s="1"/>
      <c r="AA135" s="1"/>
      <c r="AB135" s="2"/>
      <c r="AC135" s="3"/>
      <c r="AD135" s="4"/>
      <c r="AE135" s="4"/>
      <c r="AF135" s="24"/>
      <c r="AG135" s="2"/>
      <c r="AH135" s="23"/>
    </row>
    <row r="136" spans="1:34" hidden="1">
      <c r="A136" t="s">
        <v>114</v>
      </c>
      <c r="B136" s="18">
        <v>22</v>
      </c>
      <c r="C136" s="1">
        <v>45862</v>
      </c>
      <c r="D136" s="1">
        <v>45859</v>
      </c>
      <c r="E136" s="19" t="s">
        <v>19</v>
      </c>
      <c r="F136" s="19">
        <v>110</v>
      </c>
      <c r="G136" s="99" t="s">
        <v>166</v>
      </c>
      <c r="H136" s="3">
        <v>774.46</v>
      </c>
      <c r="I136" s="4">
        <v>185.3</v>
      </c>
      <c r="J136" s="4">
        <f t="shared" si="64"/>
        <v>143507.43800000002</v>
      </c>
      <c r="K136" s="4">
        <f t="shared" si="76"/>
        <v>207.53600000000003</v>
      </c>
      <c r="L136" s="1">
        <f t="shared" ref="L136:L138" si="80">C136+16</f>
        <v>45878</v>
      </c>
      <c r="M136" s="21">
        <f t="shared" si="77"/>
        <v>160728.33056000003</v>
      </c>
      <c r="N136" s="22" t="s">
        <v>98</v>
      </c>
      <c r="O136" s="2"/>
      <c r="P136" s="7">
        <f t="shared" si="79"/>
        <v>66</v>
      </c>
      <c r="Q136" s="66">
        <f t="shared" si="75"/>
        <v>5231.376896035069</v>
      </c>
      <c r="R136" s="2"/>
      <c r="S136" s="2">
        <v>11411</v>
      </c>
      <c r="T136" s="2"/>
      <c r="U136" s="2" t="s">
        <v>107</v>
      </c>
      <c r="V136" s="1">
        <v>45994</v>
      </c>
      <c r="W136" s="23">
        <v>45946</v>
      </c>
      <c r="Y136" s="18"/>
      <c r="Z136" s="1"/>
      <c r="AA136" s="1"/>
      <c r="AB136" s="2"/>
      <c r="AC136" s="3"/>
      <c r="AD136" s="4"/>
      <c r="AE136" s="4"/>
      <c r="AF136" s="24"/>
      <c r="AG136" s="2"/>
      <c r="AH136" s="23"/>
    </row>
    <row r="137" spans="1:34" hidden="1">
      <c r="A137" t="s">
        <v>114</v>
      </c>
      <c r="B137" s="18">
        <v>23</v>
      </c>
      <c r="C137" s="1">
        <v>45868</v>
      </c>
      <c r="D137" s="1">
        <v>45868</v>
      </c>
      <c r="E137" s="19" t="s">
        <v>19</v>
      </c>
      <c r="F137" s="19">
        <v>110</v>
      </c>
      <c r="G137" s="99" t="s">
        <v>166</v>
      </c>
      <c r="H137" s="3">
        <v>1160.9000000000001</v>
      </c>
      <c r="I137" s="4">
        <v>185.3</v>
      </c>
      <c r="J137" s="4">
        <f t="shared" si="64"/>
        <v>215114.77000000002</v>
      </c>
      <c r="K137" s="4">
        <f t="shared" si="76"/>
        <v>207.53600000000003</v>
      </c>
      <c r="L137" s="1">
        <f t="shared" si="80"/>
        <v>45884</v>
      </c>
      <c r="M137" s="21">
        <f t="shared" si="77"/>
        <v>240928.54240000006</v>
      </c>
      <c r="N137" s="22" t="s">
        <v>98</v>
      </c>
      <c r="O137" s="2"/>
      <c r="P137" s="7">
        <f t="shared" si="79"/>
        <v>60</v>
      </c>
      <c r="Q137" s="66">
        <f t="shared" si="75"/>
        <v>7128.8445422465757</v>
      </c>
      <c r="R137" s="2"/>
      <c r="S137" s="2">
        <v>12498</v>
      </c>
      <c r="T137" s="2"/>
      <c r="U137" s="2" t="s">
        <v>107</v>
      </c>
      <c r="V137" s="1">
        <v>45994</v>
      </c>
      <c r="W137" s="23">
        <v>45946</v>
      </c>
      <c r="Y137" s="18"/>
      <c r="Z137" s="1"/>
      <c r="AA137" s="1"/>
      <c r="AB137" s="2"/>
      <c r="AC137" s="3"/>
      <c r="AD137" s="4"/>
      <c r="AE137" s="4"/>
      <c r="AF137" s="24"/>
      <c r="AG137" s="2"/>
      <c r="AH137" s="23"/>
    </row>
    <row r="138" spans="1:34" hidden="1">
      <c r="A138" t="s">
        <v>114</v>
      </c>
      <c r="B138" s="18">
        <v>24</v>
      </c>
      <c r="C138" s="1">
        <v>45868</v>
      </c>
      <c r="D138" s="1">
        <v>45868</v>
      </c>
      <c r="E138" s="19" t="s">
        <v>19</v>
      </c>
      <c r="F138" s="19">
        <v>110</v>
      </c>
      <c r="G138" s="99" t="s">
        <v>166</v>
      </c>
      <c r="H138" s="3">
        <v>386.36</v>
      </c>
      <c r="I138" s="4">
        <v>185.3</v>
      </c>
      <c r="J138" s="4">
        <f t="shared" si="64"/>
        <v>71592.508000000002</v>
      </c>
      <c r="K138" s="4">
        <f t="shared" si="76"/>
        <v>207.53600000000003</v>
      </c>
      <c r="L138" s="1">
        <f t="shared" si="80"/>
        <v>45884</v>
      </c>
      <c r="M138" s="21">
        <f t="shared" si="77"/>
        <v>80183.608960000012</v>
      </c>
      <c r="N138" s="22" t="s">
        <v>98</v>
      </c>
      <c r="O138" s="2"/>
      <c r="P138" s="7">
        <f t="shared" si="79"/>
        <v>60</v>
      </c>
      <c r="Q138" s="66">
        <f t="shared" si="75"/>
        <v>2372.5561007342467</v>
      </c>
      <c r="R138" s="2"/>
      <c r="S138" s="2">
        <v>12507</v>
      </c>
      <c r="T138" s="2"/>
      <c r="U138" s="2" t="s">
        <v>107</v>
      </c>
      <c r="V138" s="1">
        <v>45994</v>
      </c>
      <c r="W138" s="23">
        <v>45946</v>
      </c>
      <c r="Y138" s="18"/>
      <c r="Z138" s="1"/>
      <c r="AA138" s="1"/>
      <c r="AB138" s="2"/>
      <c r="AC138" s="3"/>
      <c r="AD138" s="4"/>
      <c r="AE138" s="4"/>
      <c r="AF138" s="24"/>
      <c r="AG138" s="2"/>
      <c r="AH138" s="23"/>
    </row>
    <row r="139" spans="1:34" hidden="1">
      <c r="A139" t="s">
        <v>114</v>
      </c>
      <c r="B139" s="18">
        <v>25</v>
      </c>
      <c r="C139" s="1">
        <v>45870</v>
      </c>
      <c r="D139" s="1">
        <v>45870</v>
      </c>
      <c r="E139" s="19" t="s">
        <v>91</v>
      </c>
      <c r="F139" s="19" t="s">
        <v>92</v>
      </c>
      <c r="G139" s="2" t="s">
        <v>85</v>
      </c>
      <c r="H139" s="3">
        <v>256</v>
      </c>
      <c r="I139" s="4">
        <v>301.78570000000002</v>
      </c>
      <c r="J139" s="4">
        <f t="shared" si="64"/>
        <v>77257.139200000005</v>
      </c>
      <c r="K139" s="4">
        <f t="shared" si="76"/>
        <v>337.99998400000004</v>
      </c>
      <c r="L139" s="1">
        <f>D139+18</f>
        <v>45888</v>
      </c>
      <c r="M139" s="21">
        <f t="shared" si="77"/>
        <v>86527.99590400001</v>
      </c>
      <c r="N139" s="22" t="s">
        <v>97</v>
      </c>
      <c r="O139" s="2"/>
      <c r="P139" s="7">
        <f>DAYS360(L139,W139)-(1)</f>
        <v>20</v>
      </c>
      <c r="Q139" s="66">
        <f t="shared" si="75"/>
        <v>853.4268089161643</v>
      </c>
      <c r="R139" s="2"/>
      <c r="S139" s="2" t="s">
        <v>93</v>
      </c>
      <c r="T139" s="1">
        <v>46069</v>
      </c>
      <c r="U139" s="2"/>
      <c r="V139" s="2"/>
      <c r="W139" s="23">
        <v>45910</v>
      </c>
      <c r="Y139" s="18"/>
      <c r="Z139" s="1"/>
      <c r="AA139" s="1"/>
      <c r="AB139" s="2"/>
      <c r="AC139" s="3"/>
      <c r="AD139" s="4"/>
      <c r="AE139" s="4"/>
      <c r="AF139" s="24"/>
      <c r="AG139" s="2"/>
      <c r="AH139" s="23"/>
    </row>
    <row r="140" spans="1:34" hidden="1">
      <c r="A140" t="s">
        <v>114</v>
      </c>
      <c r="B140" s="18">
        <v>26</v>
      </c>
      <c r="C140" s="1">
        <v>45871</v>
      </c>
      <c r="D140" s="1">
        <v>45871</v>
      </c>
      <c r="E140" s="19" t="s">
        <v>111</v>
      </c>
      <c r="F140" s="19"/>
      <c r="G140" s="2" t="s">
        <v>22</v>
      </c>
      <c r="H140" s="3">
        <v>98.2</v>
      </c>
      <c r="I140" s="4">
        <v>378.38</v>
      </c>
      <c r="J140" s="4">
        <f t="shared" si="64"/>
        <v>37156.915999999997</v>
      </c>
      <c r="K140" s="4">
        <f t="shared" si="76"/>
        <v>423.78560000000004</v>
      </c>
      <c r="L140" s="1">
        <f t="shared" ref="L140:L143" si="81">D140+17</f>
        <v>45888</v>
      </c>
      <c r="M140" s="21">
        <f t="shared" si="77"/>
        <v>41615.745920000008</v>
      </c>
      <c r="N140" s="22" t="s">
        <v>99</v>
      </c>
      <c r="O140" s="2"/>
      <c r="P140" s="7">
        <f t="shared" ref="P140:P147" si="82">DAYS360(L140,W140)-(1)</f>
        <v>132</v>
      </c>
      <c r="Q140" s="66">
        <f t="shared" ref="Q140:Q146" si="83">0.18*P140*M140/365</f>
        <v>2709.0140357786304</v>
      </c>
      <c r="R140" s="2"/>
      <c r="S140" s="2">
        <v>291</v>
      </c>
      <c r="T140" s="2"/>
      <c r="U140" s="2" t="s">
        <v>107</v>
      </c>
      <c r="V140" s="2"/>
      <c r="W140" s="23">
        <v>46024</v>
      </c>
      <c r="Y140" s="18"/>
      <c r="Z140" s="1"/>
      <c r="AA140" s="1"/>
      <c r="AB140" s="2"/>
      <c r="AC140" s="3"/>
      <c r="AD140" s="4"/>
      <c r="AE140" s="4"/>
      <c r="AF140" s="24"/>
      <c r="AG140" s="2"/>
      <c r="AH140" s="23"/>
    </row>
    <row r="141" spans="1:34" hidden="1">
      <c r="A141" t="s">
        <v>114</v>
      </c>
      <c r="B141" s="18">
        <v>27</v>
      </c>
      <c r="C141" s="1">
        <v>45872</v>
      </c>
      <c r="D141" s="1">
        <v>45872</v>
      </c>
      <c r="E141" s="19" t="s">
        <v>111</v>
      </c>
      <c r="F141" s="19"/>
      <c r="G141" s="2" t="s">
        <v>22</v>
      </c>
      <c r="H141" s="3">
        <v>196.4</v>
      </c>
      <c r="I141" s="4">
        <v>378.38</v>
      </c>
      <c r="J141" s="4">
        <f t="shared" si="64"/>
        <v>74313.831999999995</v>
      </c>
      <c r="K141" s="4">
        <f t="shared" si="76"/>
        <v>423.78560000000004</v>
      </c>
      <c r="L141" s="1">
        <f t="shared" si="81"/>
        <v>45889</v>
      </c>
      <c r="M141" s="21">
        <f t="shared" si="77"/>
        <v>83231.491840000017</v>
      </c>
      <c r="N141" s="22" t="s">
        <v>99</v>
      </c>
      <c r="O141" s="2"/>
      <c r="P141" s="7">
        <f t="shared" si="82"/>
        <v>131</v>
      </c>
      <c r="Q141" s="66">
        <f t="shared" si="83"/>
        <v>5376.9824043484941</v>
      </c>
      <c r="R141" s="2"/>
      <c r="S141" s="2">
        <v>305</v>
      </c>
      <c r="T141" s="2"/>
      <c r="U141" s="2" t="s">
        <v>107</v>
      </c>
      <c r="V141" s="2"/>
      <c r="W141" s="23">
        <v>46024</v>
      </c>
      <c r="Y141" s="18"/>
      <c r="Z141" s="1"/>
      <c r="AA141" s="1"/>
      <c r="AB141" s="2"/>
      <c r="AC141" s="3"/>
      <c r="AD141" s="4"/>
      <c r="AE141" s="4"/>
      <c r="AF141" s="24"/>
      <c r="AG141" s="2"/>
      <c r="AH141" s="23"/>
    </row>
    <row r="142" spans="1:34" hidden="1">
      <c r="A142" t="s">
        <v>114</v>
      </c>
      <c r="B142" s="18">
        <v>28</v>
      </c>
      <c r="C142" s="1">
        <v>45872</v>
      </c>
      <c r="D142" s="1">
        <v>45872</v>
      </c>
      <c r="E142" s="19" t="s">
        <v>111</v>
      </c>
      <c r="F142" s="19"/>
      <c r="G142" s="2" t="s">
        <v>22</v>
      </c>
      <c r="H142" s="3">
        <v>98.2</v>
      </c>
      <c r="I142" s="4">
        <v>378.38</v>
      </c>
      <c r="J142" s="4">
        <f t="shared" si="64"/>
        <v>37156.915999999997</v>
      </c>
      <c r="K142" s="4">
        <f t="shared" si="76"/>
        <v>423.78560000000004</v>
      </c>
      <c r="L142" s="1">
        <f t="shared" si="81"/>
        <v>45889</v>
      </c>
      <c r="M142" s="21">
        <f t="shared" si="77"/>
        <v>41615.745920000008</v>
      </c>
      <c r="N142" s="22" t="s">
        <v>99</v>
      </c>
      <c r="O142" s="2"/>
      <c r="P142" s="7">
        <f t="shared" si="82"/>
        <v>131</v>
      </c>
      <c r="Q142" s="66">
        <f t="shared" si="83"/>
        <v>2688.4912021742471</v>
      </c>
      <c r="R142" s="2"/>
      <c r="S142" s="2">
        <v>306</v>
      </c>
      <c r="T142" s="2"/>
      <c r="U142" s="2" t="s">
        <v>107</v>
      </c>
      <c r="V142" s="2"/>
      <c r="W142" s="23">
        <v>46024</v>
      </c>
      <c r="Y142" s="18"/>
      <c r="Z142" s="1"/>
      <c r="AA142" s="1"/>
      <c r="AB142" s="2"/>
      <c r="AC142" s="3"/>
      <c r="AD142" s="4"/>
      <c r="AE142" s="4"/>
      <c r="AF142" s="24"/>
      <c r="AG142" s="2"/>
      <c r="AH142" s="23"/>
    </row>
    <row r="143" spans="1:34" hidden="1">
      <c r="A143" t="s">
        <v>114</v>
      </c>
      <c r="B143" s="18">
        <v>29</v>
      </c>
      <c r="C143" s="1">
        <v>45873</v>
      </c>
      <c r="D143" s="1">
        <v>45873</v>
      </c>
      <c r="E143" s="19" t="s">
        <v>111</v>
      </c>
      <c r="F143" s="19"/>
      <c r="G143" s="2" t="s">
        <v>22</v>
      </c>
      <c r="H143" s="3">
        <v>98.2</v>
      </c>
      <c r="I143" s="4">
        <v>378.38</v>
      </c>
      <c r="J143" s="4">
        <f t="shared" si="64"/>
        <v>37156.915999999997</v>
      </c>
      <c r="K143" s="4">
        <f t="shared" si="76"/>
        <v>423.78560000000004</v>
      </c>
      <c r="L143" s="1">
        <f t="shared" si="81"/>
        <v>45890</v>
      </c>
      <c r="M143" s="21">
        <f t="shared" si="77"/>
        <v>41615.745920000008</v>
      </c>
      <c r="N143" s="22" t="s">
        <v>99</v>
      </c>
      <c r="O143" s="2"/>
      <c r="P143" s="7">
        <f t="shared" si="82"/>
        <v>130</v>
      </c>
      <c r="Q143" s="66">
        <f t="shared" si="83"/>
        <v>2667.9683685698633</v>
      </c>
      <c r="R143" s="2"/>
      <c r="S143" s="2">
        <v>325</v>
      </c>
      <c r="T143" s="2"/>
      <c r="U143" s="2" t="s">
        <v>107</v>
      </c>
      <c r="V143" s="2"/>
      <c r="W143" s="23">
        <v>46024</v>
      </c>
      <c r="Y143" s="18"/>
      <c r="Z143" s="1"/>
      <c r="AA143" s="1"/>
      <c r="AB143" s="2"/>
      <c r="AC143" s="3"/>
      <c r="AD143" s="4"/>
      <c r="AE143" s="4"/>
      <c r="AF143" s="24"/>
      <c r="AG143" s="2"/>
      <c r="AH143" s="23"/>
    </row>
    <row r="144" spans="1:34" hidden="1">
      <c r="A144" t="s">
        <v>114</v>
      </c>
      <c r="B144" s="18">
        <v>30</v>
      </c>
      <c r="C144" s="1">
        <v>45876</v>
      </c>
      <c r="D144" s="1">
        <v>45874</v>
      </c>
      <c r="E144" s="19" t="s">
        <v>19</v>
      </c>
      <c r="F144" s="19">
        <v>110</v>
      </c>
      <c r="G144" s="99" t="s">
        <v>166</v>
      </c>
      <c r="H144" s="3">
        <v>774.35</v>
      </c>
      <c r="I144" s="4">
        <v>185.3</v>
      </c>
      <c r="J144" s="4">
        <f t="shared" si="64"/>
        <v>143487.05500000002</v>
      </c>
      <c r="K144" s="4">
        <f t="shared" si="76"/>
        <v>207.53600000000003</v>
      </c>
      <c r="L144" s="1">
        <f t="shared" ref="L144:L146" si="84">C144+16</f>
        <v>45892</v>
      </c>
      <c r="M144" s="21">
        <f t="shared" si="77"/>
        <v>160705.50160000002</v>
      </c>
      <c r="N144" s="22" t="s">
        <v>98</v>
      </c>
      <c r="O144" s="2"/>
      <c r="P144" s="7">
        <f t="shared" si="82"/>
        <v>58</v>
      </c>
      <c r="Q144" s="66">
        <f t="shared" si="83"/>
        <v>4596.6176348054796</v>
      </c>
      <c r="R144" s="2"/>
      <c r="S144" s="2">
        <v>13107</v>
      </c>
      <c r="T144" s="2"/>
      <c r="U144" s="2" t="s">
        <v>107</v>
      </c>
      <c r="V144" s="1">
        <v>45994</v>
      </c>
      <c r="W144" s="23">
        <v>45952</v>
      </c>
      <c r="Y144" s="18"/>
      <c r="Z144" s="1"/>
      <c r="AA144" s="1"/>
      <c r="AB144" s="2"/>
      <c r="AC144" s="3"/>
      <c r="AD144" s="4"/>
      <c r="AE144" s="4"/>
      <c r="AF144" s="24"/>
      <c r="AG144" s="2"/>
      <c r="AH144" s="23"/>
    </row>
    <row r="145" spans="1:34" hidden="1">
      <c r="A145" t="s">
        <v>114</v>
      </c>
      <c r="B145" s="18">
        <v>31</v>
      </c>
      <c r="C145" s="1">
        <v>45879</v>
      </c>
      <c r="D145" s="1">
        <v>45877</v>
      </c>
      <c r="E145" s="19" t="s">
        <v>19</v>
      </c>
      <c r="F145" s="19">
        <v>110</v>
      </c>
      <c r="G145" s="99" t="s">
        <v>166</v>
      </c>
      <c r="H145" s="3">
        <v>773.57</v>
      </c>
      <c r="I145" s="4">
        <v>185.3</v>
      </c>
      <c r="J145" s="4">
        <f t="shared" si="64"/>
        <v>143342.52100000001</v>
      </c>
      <c r="K145" s="4">
        <f t="shared" si="76"/>
        <v>207.53600000000003</v>
      </c>
      <c r="L145" s="1">
        <f t="shared" si="84"/>
        <v>45895</v>
      </c>
      <c r="M145" s="21">
        <f t="shared" si="77"/>
        <v>160543.62352000002</v>
      </c>
      <c r="N145" s="22" t="s">
        <v>98</v>
      </c>
      <c r="O145" s="2"/>
      <c r="P145" s="7">
        <f t="shared" si="82"/>
        <v>55</v>
      </c>
      <c r="Q145" s="66">
        <f t="shared" si="83"/>
        <v>4354.4708845150699</v>
      </c>
      <c r="R145" s="2"/>
      <c r="S145" s="2">
        <v>13453</v>
      </c>
      <c r="T145" s="2"/>
      <c r="U145" s="2" t="s">
        <v>107</v>
      </c>
      <c r="V145" s="1">
        <v>45994</v>
      </c>
      <c r="W145" s="23">
        <v>45952</v>
      </c>
      <c r="Y145" s="18"/>
      <c r="Z145" s="1"/>
      <c r="AA145" s="1"/>
      <c r="AB145" s="2"/>
      <c r="AC145" s="3"/>
      <c r="AD145" s="4"/>
      <c r="AE145" s="4"/>
      <c r="AF145" s="24"/>
      <c r="AG145" s="2"/>
      <c r="AH145" s="23"/>
    </row>
    <row r="146" spans="1:34" hidden="1">
      <c r="A146" t="s">
        <v>114</v>
      </c>
      <c r="B146" s="18">
        <v>32</v>
      </c>
      <c r="C146" s="1">
        <v>45879</v>
      </c>
      <c r="D146" s="1">
        <v>45877</v>
      </c>
      <c r="E146" s="19" t="s">
        <v>19</v>
      </c>
      <c r="F146" s="19">
        <v>110</v>
      </c>
      <c r="G146" s="99" t="s">
        <v>166</v>
      </c>
      <c r="H146" s="3">
        <v>773.69</v>
      </c>
      <c r="I146" s="4">
        <v>185.3</v>
      </c>
      <c r="J146" s="4">
        <f t="shared" si="64"/>
        <v>143364.75700000001</v>
      </c>
      <c r="K146" s="4">
        <f t="shared" si="76"/>
        <v>207.53600000000003</v>
      </c>
      <c r="L146" s="1">
        <f t="shared" si="84"/>
        <v>45895</v>
      </c>
      <c r="M146" s="21">
        <f t="shared" si="77"/>
        <v>160568.52784000002</v>
      </c>
      <c r="N146" s="22" t="s">
        <v>98</v>
      </c>
      <c r="O146" s="2"/>
      <c r="P146" s="7">
        <f t="shared" si="82"/>
        <v>55</v>
      </c>
      <c r="Q146" s="66">
        <f t="shared" si="83"/>
        <v>4355.1463715506861</v>
      </c>
      <c r="R146" s="2"/>
      <c r="S146" s="2">
        <v>13454</v>
      </c>
      <c r="T146" s="2"/>
      <c r="U146" s="2" t="s">
        <v>107</v>
      </c>
      <c r="V146" s="1">
        <v>45994</v>
      </c>
      <c r="W146" s="23">
        <v>45952</v>
      </c>
      <c r="Y146" s="18"/>
      <c r="Z146" s="1"/>
      <c r="AA146" s="1"/>
      <c r="AB146" s="2"/>
      <c r="AC146" s="3"/>
      <c r="AD146" s="4"/>
      <c r="AE146" s="4"/>
      <c r="AF146" s="24"/>
      <c r="AG146" s="2"/>
      <c r="AH146" s="23"/>
    </row>
    <row r="147" spans="1:34" hidden="1">
      <c r="A147" t="s">
        <v>114</v>
      </c>
      <c r="B147" s="18">
        <v>33</v>
      </c>
      <c r="C147" s="1">
        <v>45890</v>
      </c>
      <c r="D147" s="1">
        <v>45891</v>
      </c>
      <c r="E147" s="19" t="s">
        <v>103</v>
      </c>
      <c r="F147" s="19" t="s">
        <v>100</v>
      </c>
      <c r="G147" s="2" t="s">
        <v>85</v>
      </c>
      <c r="H147" s="3">
        <v>256</v>
      </c>
      <c r="I147" s="4">
        <v>296</v>
      </c>
      <c r="J147" s="4">
        <f t="shared" si="64"/>
        <v>75776</v>
      </c>
      <c r="K147" s="4">
        <f t="shared" si="76"/>
        <v>331.52000000000004</v>
      </c>
      <c r="L147" s="1">
        <f>D147+18</f>
        <v>45909</v>
      </c>
      <c r="M147" s="21">
        <f t="shared" si="77"/>
        <v>84869.12000000001</v>
      </c>
      <c r="N147" s="22" t="s">
        <v>97</v>
      </c>
      <c r="O147" s="2"/>
      <c r="P147" s="7">
        <f t="shared" si="82"/>
        <v>38</v>
      </c>
      <c r="Q147" s="66"/>
      <c r="R147" s="2"/>
      <c r="S147" s="2" t="s">
        <v>104</v>
      </c>
      <c r="T147" s="2"/>
      <c r="U147" s="2"/>
      <c r="V147" s="2"/>
      <c r="W147" s="23">
        <v>45948</v>
      </c>
      <c r="Y147" s="18"/>
      <c r="Z147" s="1"/>
      <c r="AA147" s="1"/>
      <c r="AB147" s="2"/>
      <c r="AC147" s="3"/>
      <c r="AD147" s="4"/>
      <c r="AE147" s="4"/>
      <c r="AF147" s="24"/>
      <c r="AG147" s="2"/>
      <c r="AH147" s="23"/>
    </row>
    <row r="148" spans="1:34" hidden="1">
      <c r="A148" t="s">
        <v>114</v>
      </c>
      <c r="B148" s="18">
        <v>34</v>
      </c>
      <c r="C148" s="1">
        <v>45905</v>
      </c>
      <c r="D148" s="1">
        <v>45903</v>
      </c>
      <c r="E148" s="19" t="s">
        <v>19</v>
      </c>
      <c r="F148" s="19">
        <v>110</v>
      </c>
      <c r="G148" s="99" t="s">
        <v>166</v>
      </c>
      <c r="H148" s="3">
        <v>1161.3599999999999</v>
      </c>
      <c r="I148" s="4">
        <v>187.2</v>
      </c>
      <c r="J148" s="4">
        <f t="shared" si="64"/>
        <v>217406.59199999998</v>
      </c>
      <c r="K148" s="4">
        <f t="shared" si="76"/>
        <v>209.66400000000002</v>
      </c>
      <c r="L148" s="1">
        <f t="shared" ref="L148:L149" si="85">C148+16</f>
        <v>45921</v>
      </c>
      <c r="M148" s="21">
        <f t="shared" si="77"/>
        <v>243495.38303999999</v>
      </c>
      <c r="N148" s="22" t="s">
        <v>98</v>
      </c>
      <c r="O148" s="2"/>
      <c r="P148" s="7">
        <f t="shared" ref="P148:P149" si="86">DAYS360(L148,W148)-(1)</f>
        <v>30</v>
      </c>
      <c r="Q148" s="66">
        <f t="shared" ref="Q148:Q150" si="87">0.18*P148*M148/365</f>
        <v>3602.3974477150682</v>
      </c>
      <c r="R148" s="2"/>
      <c r="S148" s="2">
        <v>16535</v>
      </c>
      <c r="T148" s="2"/>
      <c r="U148" s="2" t="s">
        <v>107</v>
      </c>
      <c r="V148" s="1">
        <v>45994</v>
      </c>
      <c r="W148" s="23">
        <v>45952</v>
      </c>
      <c r="Y148" s="18"/>
      <c r="Z148" s="1"/>
      <c r="AA148" s="1"/>
      <c r="AB148" s="2"/>
      <c r="AC148" s="3"/>
      <c r="AD148" s="4"/>
      <c r="AE148" s="4"/>
      <c r="AF148" s="24"/>
      <c r="AG148" s="2"/>
      <c r="AH148" s="23"/>
    </row>
    <row r="149" spans="1:34" hidden="1">
      <c r="A149" t="s">
        <v>114</v>
      </c>
      <c r="B149" s="18">
        <v>35</v>
      </c>
      <c r="C149" s="1">
        <v>45911</v>
      </c>
      <c r="D149" s="1">
        <v>45910</v>
      </c>
      <c r="E149" s="19" t="s">
        <v>19</v>
      </c>
      <c r="F149" s="19">
        <v>110</v>
      </c>
      <c r="G149" s="99" t="s">
        <v>166</v>
      </c>
      <c r="H149" s="3">
        <v>387.56</v>
      </c>
      <c r="I149" s="4">
        <v>187.2</v>
      </c>
      <c r="J149" s="4">
        <f t="shared" si="64"/>
        <v>72551.231999999989</v>
      </c>
      <c r="K149" s="4">
        <f t="shared" si="76"/>
        <v>209.66400000000002</v>
      </c>
      <c r="L149" s="1">
        <f t="shared" si="85"/>
        <v>45927</v>
      </c>
      <c r="M149" s="21">
        <f t="shared" si="77"/>
        <v>81257.379840000009</v>
      </c>
      <c r="N149" s="22" t="s">
        <v>98</v>
      </c>
      <c r="O149" s="2"/>
      <c r="P149" s="7">
        <f t="shared" si="86"/>
        <v>24</v>
      </c>
      <c r="Q149" s="66">
        <f t="shared" si="87"/>
        <v>961.731180572055</v>
      </c>
      <c r="R149" s="2"/>
      <c r="S149" s="2">
        <v>17353</v>
      </c>
      <c r="T149" s="2"/>
      <c r="U149" s="2" t="s">
        <v>107</v>
      </c>
      <c r="V149" s="1">
        <v>45994</v>
      </c>
      <c r="W149" s="23">
        <v>45952</v>
      </c>
      <c r="Y149" s="18"/>
      <c r="Z149" s="1"/>
      <c r="AA149" s="1"/>
      <c r="AB149" s="2"/>
      <c r="AC149" s="3"/>
      <c r="AD149" s="4"/>
      <c r="AE149" s="4"/>
      <c r="AF149" s="24"/>
      <c r="AG149" s="2"/>
      <c r="AH149" s="23"/>
    </row>
    <row r="150" spans="1:34" hidden="1">
      <c r="A150" t="s">
        <v>114</v>
      </c>
      <c r="B150" s="18">
        <v>36</v>
      </c>
      <c r="C150" s="1">
        <v>45912</v>
      </c>
      <c r="D150" s="1">
        <v>45913</v>
      </c>
      <c r="E150" s="19" t="s">
        <v>91</v>
      </c>
      <c r="F150" s="19" t="s">
        <v>100</v>
      </c>
      <c r="G150" s="2" t="s">
        <v>85</v>
      </c>
      <c r="H150" s="3">
        <v>256</v>
      </c>
      <c r="I150" s="4">
        <v>294.64</v>
      </c>
      <c r="J150" s="4">
        <f t="shared" si="64"/>
        <v>75427.839999999997</v>
      </c>
      <c r="K150" s="4">
        <f t="shared" si="76"/>
        <v>329.99680000000001</v>
      </c>
      <c r="L150" s="1">
        <f>D150+18</f>
        <v>45931</v>
      </c>
      <c r="M150" s="21">
        <f t="shared" si="77"/>
        <v>84479.180800000002</v>
      </c>
      <c r="N150" s="22" t="s">
        <v>97</v>
      </c>
      <c r="O150" s="2"/>
      <c r="P150" s="7">
        <f>DAYS360(L150,W150)-(1)</f>
        <v>14</v>
      </c>
      <c r="Q150" s="66">
        <f t="shared" si="87"/>
        <v>583.25352223561651</v>
      </c>
      <c r="R150" s="2"/>
      <c r="S150" s="2">
        <v>25885</v>
      </c>
      <c r="T150" s="1">
        <v>46069</v>
      </c>
      <c r="U150" s="2"/>
      <c r="V150" s="2"/>
      <c r="W150" s="23">
        <v>45946</v>
      </c>
      <c r="Y150" s="18"/>
      <c r="Z150" s="1"/>
      <c r="AA150" s="1"/>
      <c r="AB150" s="2"/>
      <c r="AC150" s="3"/>
      <c r="AD150" s="4"/>
      <c r="AE150" s="4"/>
      <c r="AF150" s="24"/>
      <c r="AG150" s="2"/>
      <c r="AH150" s="23"/>
    </row>
    <row r="151" spans="1:34" hidden="1">
      <c r="A151" t="s">
        <v>114</v>
      </c>
      <c r="B151" s="18">
        <v>37</v>
      </c>
      <c r="C151" s="1">
        <v>45915</v>
      </c>
      <c r="D151" s="1">
        <v>45914</v>
      </c>
      <c r="E151" s="19" t="s">
        <v>19</v>
      </c>
      <c r="F151" s="19">
        <v>110</v>
      </c>
      <c r="G151" s="99" t="s">
        <v>166</v>
      </c>
      <c r="H151" s="3">
        <v>387.35</v>
      </c>
      <c r="I151" s="4">
        <v>186.3</v>
      </c>
      <c r="J151" s="4">
        <f t="shared" si="64"/>
        <v>72163.305000000008</v>
      </c>
      <c r="K151" s="4">
        <f t="shared" si="76"/>
        <v>208.65600000000003</v>
      </c>
      <c r="L151" s="1">
        <f>C151+16</f>
        <v>45931</v>
      </c>
      <c r="M151" s="21">
        <f t="shared" si="77"/>
        <v>80822.901600000012</v>
      </c>
      <c r="N151" s="22" t="s">
        <v>98</v>
      </c>
      <c r="O151" s="2"/>
      <c r="P151" s="7">
        <f>DAYS360(L151,W151)-(1)</f>
        <v>20</v>
      </c>
      <c r="Q151" s="66">
        <f t="shared" ref="Q151" si="88">0.18*P151*M151/365</f>
        <v>797.15738564383571</v>
      </c>
      <c r="R151" s="2"/>
      <c r="S151" s="2">
        <v>17875</v>
      </c>
      <c r="T151" s="2"/>
      <c r="U151" s="2" t="s">
        <v>107</v>
      </c>
      <c r="V151" s="1">
        <v>45994</v>
      </c>
      <c r="W151" s="23">
        <v>45952</v>
      </c>
      <c r="Y151" s="18"/>
      <c r="Z151" s="1"/>
      <c r="AA151" s="1"/>
      <c r="AB151" s="2"/>
      <c r="AC151" s="3"/>
      <c r="AD151" s="4"/>
      <c r="AE151" s="4"/>
      <c r="AF151" s="24"/>
      <c r="AG151" s="2"/>
      <c r="AH151" s="23"/>
    </row>
    <row r="152" spans="1:34" ht="15.75" thickBot="1">
      <c r="A152" t="s">
        <v>114</v>
      </c>
      <c r="B152" s="27">
        <v>38</v>
      </c>
      <c r="C152" s="28">
        <v>45918</v>
      </c>
      <c r="D152" s="28">
        <v>45918</v>
      </c>
      <c r="E152" s="29" t="s">
        <v>26</v>
      </c>
      <c r="F152" s="29"/>
      <c r="G152" s="30" t="s">
        <v>22</v>
      </c>
      <c r="H152" s="73">
        <v>509.6</v>
      </c>
      <c r="I152" s="32">
        <v>299.709</v>
      </c>
      <c r="J152" s="4">
        <f t="shared" si="64"/>
        <v>152731.7064</v>
      </c>
      <c r="K152" s="32">
        <f t="shared" si="76"/>
        <v>335.67408000000006</v>
      </c>
      <c r="L152" s="28">
        <f>D152+150</f>
        <v>46068</v>
      </c>
      <c r="M152" s="74">
        <f t="shared" si="77"/>
        <v>171059.51116800003</v>
      </c>
      <c r="N152" s="80" t="s">
        <v>99</v>
      </c>
      <c r="O152" s="30"/>
      <c r="P152" s="7">
        <f>DAYS360(L152,W152)-(1)</f>
        <v>-2</v>
      </c>
      <c r="Q152" s="30"/>
      <c r="R152" s="30"/>
      <c r="S152" s="30" t="s">
        <v>105</v>
      </c>
      <c r="T152" s="30"/>
      <c r="U152" s="30"/>
      <c r="V152" s="30"/>
      <c r="W152" s="35">
        <v>46067</v>
      </c>
      <c r="Y152" s="18"/>
      <c r="Z152" s="1"/>
      <c r="AA152" s="1"/>
      <c r="AB152" s="2"/>
      <c r="AC152" s="3"/>
      <c r="AD152" s="4"/>
      <c r="AE152" s="4"/>
      <c r="AF152" s="24"/>
      <c r="AG152" s="2"/>
      <c r="AH152" s="23"/>
    </row>
    <row r="153" spans="1:34" hidden="1">
      <c r="A153" t="s">
        <v>114</v>
      </c>
      <c r="B153" s="18">
        <v>39</v>
      </c>
      <c r="C153" s="1">
        <v>45928</v>
      </c>
      <c r="D153" s="1">
        <v>45929</v>
      </c>
      <c r="E153" s="19" t="s">
        <v>19</v>
      </c>
      <c r="F153" s="19">
        <v>110</v>
      </c>
      <c r="G153" s="99" t="s">
        <v>166</v>
      </c>
      <c r="H153" s="3">
        <v>387.19</v>
      </c>
      <c r="I153" s="4">
        <v>186.25</v>
      </c>
      <c r="J153" s="4">
        <f t="shared" si="64"/>
        <v>72114.137499999997</v>
      </c>
      <c r="K153" s="4">
        <f t="shared" ref="K153:K229" si="89">I153*1.05</f>
        <v>195.5625</v>
      </c>
      <c r="L153" s="1">
        <f>C153+16</f>
        <v>45944</v>
      </c>
      <c r="M153" s="21">
        <f t="shared" si="77"/>
        <v>75719.844375000001</v>
      </c>
      <c r="N153" s="22" t="s">
        <v>98</v>
      </c>
      <c r="O153" s="2"/>
      <c r="P153" s="7">
        <f>DAYS360(L153,W153)-(1)</f>
        <v>7</v>
      </c>
      <c r="Q153" s="66">
        <f t="shared" ref="Q153" si="90">0.18*P153*M153/365</f>
        <v>261.38905181506851</v>
      </c>
      <c r="R153" s="2"/>
      <c r="S153" s="2">
        <v>19417</v>
      </c>
      <c r="T153" s="2"/>
      <c r="U153" s="2" t="s">
        <v>107</v>
      </c>
      <c r="V153" s="1">
        <v>45994</v>
      </c>
      <c r="W153" s="23">
        <v>45952</v>
      </c>
      <c r="Y153" s="18"/>
      <c r="Z153" s="1"/>
      <c r="AA153" s="1"/>
      <c r="AB153" s="2"/>
      <c r="AC153" s="3"/>
      <c r="AD153" s="4"/>
      <c r="AE153" s="4"/>
      <c r="AF153" s="24"/>
      <c r="AG153" s="2"/>
      <c r="AH153" s="23"/>
    </row>
    <row r="154" spans="1:34" hidden="1">
      <c r="A154" t="s">
        <v>114</v>
      </c>
      <c r="B154" s="18">
        <v>40</v>
      </c>
      <c r="C154" s="1">
        <v>45935</v>
      </c>
      <c r="D154" s="1">
        <v>45935</v>
      </c>
      <c r="E154" s="19" t="s">
        <v>110</v>
      </c>
      <c r="F154" s="19"/>
      <c r="G154" s="2" t="s">
        <v>22</v>
      </c>
      <c r="H154" s="3">
        <v>347.9</v>
      </c>
      <c r="I154" s="4">
        <v>323.44900000000001</v>
      </c>
      <c r="J154" s="4">
        <f t="shared" si="64"/>
        <v>112527.9071</v>
      </c>
      <c r="K154" s="4">
        <f t="shared" si="89"/>
        <v>339.62145000000004</v>
      </c>
      <c r="L154" s="1">
        <f t="shared" ref="L154:L155" si="91">D154+18</f>
        <v>45953</v>
      </c>
      <c r="M154" s="21">
        <f t="shared" si="77"/>
        <v>118154.30245500001</v>
      </c>
      <c r="N154" s="22" t="s">
        <v>99</v>
      </c>
      <c r="O154" s="2"/>
      <c r="P154" s="7">
        <f t="shared" ref="P154:P155" si="92">DAYS360(L154,W154)-(1)</f>
        <v>14</v>
      </c>
      <c r="Q154" s="66">
        <f t="shared" ref="Q154:Q156" si="93">0.18*P154*M154/365</f>
        <v>815.75025256602748</v>
      </c>
      <c r="R154" s="2"/>
      <c r="S154" s="2">
        <v>1996</v>
      </c>
      <c r="T154" s="2"/>
      <c r="U154" s="2"/>
      <c r="V154" s="2"/>
      <c r="W154" s="23">
        <v>45969</v>
      </c>
      <c r="Y154" s="18"/>
      <c r="Z154" s="1"/>
      <c r="AA154" s="1"/>
      <c r="AB154" s="2"/>
      <c r="AC154" s="3"/>
      <c r="AD154" s="4"/>
      <c r="AE154" s="4"/>
      <c r="AF154" s="24"/>
      <c r="AG154" s="2"/>
      <c r="AH154" s="23"/>
    </row>
    <row r="155" spans="1:34" hidden="1">
      <c r="A155" t="s">
        <v>114</v>
      </c>
      <c r="B155" s="18">
        <v>41</v>
      </c>
      <c r="C155" s="1">
        <v>45935</v>
      </c>
      <c r="D155" s="1">
        <v>45935</v>
      </c>
      <c r="E155" s="19" t="s">
        <v>110</v>
      </c>
      <c r="F155" s="19"/>
      <c r="G155" s="2" t="s">
        <v>22</v>
      </c>
      <c r="H155" s="3">
        <v>173.95</v>
      </c>
      <c r="I155" s="4">
        <v>323.44900000000001</v>
      </c>
      <c r="J155" s="4">
        <f t="shared" si="64"/>
        <v>56263.953549999998</v>
      </c>
      <c r="K155" s="4">
        <f t="shared" si="89"/>
        <v>339.62145000000004</v>
      </c>
      <c r="L155" s="1">
        <f t="shared" si="91"/>
        <v>45953</v>
      </c>
      <c r="M155" s="21">
        <f t="shared" si="77"/>
        <v>59077.151227500006</v>
      </c>
      <c r="N155" s="22" t="s">
        <v>99</v>
      </c>
      <c r="O155" s="2"/>
      <c r="P155" s="7">
        <f t="shared" si="92"/>
        <v>14</v>
      </c>
      <c r="Q155" s="66">
        <f t="shared" si="93"/>
        <v>407.87512628301374</v>
      </c>
      <c r="R155" s="2"/>
      <c r="S155" s="2">
        <v>2000</v>
      </c>
      <c r="T155" s="2"/>
      <c r="U155" s="2"/>
      <c r="V155" s="2"/>
      <c r="W155" s="23">
        <v>45969</v>
      </c>
      <c r="Y155" s="18"/>
      <c r="Z155" s="1"/>
      <c r="AA155" s="1"/>
      <c r="AB155" s="2"/>
      <c r="AC155" s="3"/>
      <c r="AD155" s="4"/>
      <c r="AE155" s="4"/>
      <c r="AF155" s="24"/>
      <c r="AG155" s="2"/>
      <c r="AH155" s="23"/>
    </row>
    <row r="156" spans="1:34" hidden="1">
      <c r="A156" t="s">
        <v>114</v>
      </c>
      <c r="B156" s="18">
        <v>42</v>
      </c>
      <c r="C156" s="1">
        <v>45939</v>
      </c>
      <c r="D156" s="1">
        <v>45939</v>
      </c>
      <c r="E156" s="19" t="s">
        <v>91</v>
      </c>
      <c r="F156" s="19" t="s">
        <v>100</v>
      </c>
      <c r="G156" s="2" t="s">
        <v>85</v>
      </c>
      <c r="H156" s="3">
        <v>304</v>
      </c>
      <c r="I156" s="4">
        <v>295</v>
      </c>
      <c r="J156" s="4">
        <f t="shared" si="64"/>
        <v>89680</v>
      </c>
      <c r="K156" s="4">
        <f t="shared" si="89"/>
        <v>309.75</v>
      </c>
      <c r="L156" s="1">
        <f>D156+18</f>
        <v>45957</v>
      </c>
      <c r="M156" s="21">
        <f t="shared" si="77"/>
        <v>94164</v>
      </c>
      <c r="N156" s="22" t="s">
        <v>97</v>
      </c>
      <c r="O156" s="2"/>
      <c r="P156" s="7">
        <f>DAYS360(L156,W156)-(1)</f>
        <v>-6</v>
      </c>
      <c r="Q156" s="66">
        <f t="shared" si="93"/>
        <v>-278.6222465753425</v>
      </c>
      <c r="R156" s="2"/>
      <c r="S156" s="2">
        <v>29657</v>
      </c>
      <c r="T156" s="1">
        <v>46069</v>
      </c>
      <c r="U156" s="2"/>
      <c r="V156" s="2"/>
      <c r="W156" s="23">
        <v>45952</v>
      </c>
      <c r="Y156" s="18"/>
      <c r="Z156" s="1"/>
      <c r="AA156" s="1"/>
      <c r="AB156" s="2"/>
      <c r="AC156" s="3"/>
      <c r="AD156" s="4"/>
      <c r="AE156" s="4"/>
      <c r="AF156" s="24"/>
      <c r="AG156" s="2"/>
      <c r="AH156" s="23"/>
    </row>
    <row r="157" spans="1:34" hidden="1">
      <c r="A157" t="s">
        <v>114</v>
      </c>
      <c r="B157" s="18">
        <v>43</v>
      </c>
      <c r="C157" s="1">
        <v>45941</v>
      </c>
      <c r="D157" s="1">
        <v>45941</v>
      </c>
      <c r="E157" s="19" t="s">
        <v>110</v>
      </c>
      <c r="F157" s="19"/>
      <c r="G157" s="2" t="s">
        <v>22</v>
      </c>
      <c r="H157" s="3">
        <v>364.74</v>
      </c>
      <c r="I157" s="4">
        <v>323.29000000000002</v>
      </c>
      <c r="J157" s="4">
        <f t="shared" si="64"/>
        <v>117916.79460000001</v>
      </c>
      <c r="K157" s="4">
        <f t="shared" si="89"/>
        <v>339.45450000000005</v>
      </c>
      <c r="L157" s="1">
        <f>D157+18</f>
        <v>45959</v>
      </c>
      <c r="M157" s="21">
        <f t="shared" si="77"/>
        <v>123812.63433000002</v>
      </c>
      <c r="N157" s="22" t="s">
        <v>99</v>
      </c>
      <c r="O157" s="2"/>
      <c r="P157" s="7">
        <f t="shared" ref="P157:P161" si="94">DAYS360(L157,W157)-(1)</f>
        <v>8</v>
      </c>
      <c r="Q157" s="66">
        <f t="shared" ref="Q157:Q161" si="95">0.18*P157*M157/365</f>
        <v>488.46628338410966</v>
      </c>
      <c r="R157" s="2"/>
      <c r="S157" s="2">
        <v>2063</v>
      </c>
      <c r="T157" s="2"/>
      <c r="U157" s="2"/>
      <c r="V157" s="2"/>
      <c r="W157" s="23">
        <v>45969</v>
      </c>
      <c r="Y157" s="18"/>
      <c r="Z157" s="1"/>
      <c r="AA157" s="1"/>
      <c r="AB157" s="2"/>
      <c r="AC157" s="3"/>
      <c r="AD157" s="4"/>
      <c r="AE157" s="4"/>
      <c r="AF157" s="24"/>
      <c r="AG157" s="2"/>
      <c r="AH157" s="23"/>
    </row>
    <row r="158" spans="1:34" hidden="1">
      <c r="A158" t="s">
        <v>114</v>
      </c>
      <c r="B158" s="18">
        <v>44</v>
      </c>
      <c r="C158" s="1">
        <v>45943</v>
      </c>
      <c r="D158" s="1">
        <v>45942</v>
      </c>
      <c r="E158" s="19" t="s">
        <v>19</v>
      </c>
      <c r="F158" s="19">
        <v>110</v>
      </c>
      <c r="G158" s="99" t="s">
        <v>166</v>
      </c>
      <c r="H158" s="3">
        <v>386.57</v>
      </c>
      <c r="I158" s="4">
        <v>186.25</v>
      </c>
      <c r="J158" s="4">
        <f t="shared" si="64"/>
        <v>71998.662500000006</v>
      </c>
      <c r="K158" s="4">
        <f t="shared" si="89"/>
        <v>195.5625</v>
      </c>
      <c r="L158" s="1">
        <f t="shared" ref="L158:L161" si="96">C158+16</f>
        <v>45959</v>
      </c>
      <c r="M158" s="21">
        <f t="shared" si="77"/>
        <v>75598.595625000002</v>
      </c>
      <c r="N158" s="22" t="s">
        <v>98</v>
      </c>
      <c r="O158" s="2"/>
      <c r="P158" s="7">
        <f t="shared" si="94"/>
        <v>8</v>
      </c>
      <c r="Q158" s="66">
        <f t="shared" si="95"/>
        <v>298.25199369863014</v>
      </c>
      <c r="R158" s="2"/>
      <c r="S158" s="2">
        <v>20896</v>
      </c>
      <c r="T158" s="2"/>
      <c r="U158" s="2" t="s">
        <v>107</v>
      </c>
      <c r="V158" s="1">
        <v>45994</v>
      </c>
      <c r="W158" s="23">
        <v>45969</v>
      </c>
      <c r="Y158" s="18"/>
      <c r="Z158" s="1"/>
      <c r="AA158" s="1"/>
      <c r="AB158" s="2"/>
      <c r="AC158" s="3"/>
      <c r="AD158" s="4"/>
      <c r="AE158" s="4"/>
      <c r="AF158" s="24"/>
      <c r="AG158" s="2"/>
      <c r="AH158" s="23"/>
    </row>
    <row r="159" spans="1:34" hidden="1">
      <c r="A159" t="s">
        <v>114</v>
      </c>
      <c r="B159" s="18">
        <v>45</v>
      </c>
      <c r="C159" s="1">
        <v>45944</v>
      </c>
      <c r="D159" s="1">
        <v>45944</v>
      </c>
      <c r="E159" s="19" t="s">
        <v>19</v>
      </c>
      <c r="F159" s="19">
        <v>5148</v>
      </c>
      <c r="G159" s="2" t="s">
        <v>20</v>
      </c>
      <c r="H159" s="3">
        <v>774.14</v>
      </c>
      <c r="I159" s="4">
        <v>165.25</v>
      </c>
      <c r="J159" s="4">
        <f t="shared" si="64"/>
        <v>127926.63499999999</v>
      </c>
      <c r="K159" s="4">
        <f t="shared" si="89"/>
        <v>173.51250000000002</v>
      </c>
      <c r="L159" s="1">
        <f t="shared" si="96"/>
        <v>45960</v>
      </c>
      <c r="M159" s="21">
        <f t="shared" si="77"/>
        <v>134322.96675000002</v>
      </c>
      <c r="N159" s="22" t="s">
        <v>98</v>
      </c>
      <c r="O159" s="2"/>
      <c r="P159" s="7">
        <f t="shared" si="94"/>
        <v>7</v>
      </c>
      <c r="Q159" s="66">
        <f t="shared" si="95"/>
        <v>463.69024138356173</v>
      </c>
      <c r="R159" s="2"/>
      <c r="S159" s="2">
        <v>21148</v>
      </c>
      <c r="T159" s="2"/>
      <c r="U159" s="2" t="s">
        <v>107</v>
      </c>
      <c r="V159" s="1">
        <v>45994</v>
      </c>
      <c r="W159" s="23">
        <v>45969</v>
      </c>
      <c r="Y159" s="18"/>
      <c r="Z159" s="1"/>
      <c r="AA159" s="1"/>
      <c r="AB159" s="2"/>
      <c r="AC159" s="3"/>
      <c r="AD159" s="4"/>
      <c r="AE159" s="4"/>
      <c r="AF159" s="24"/>
      <c r="AG159" s="2"/>
      <c r="AH159" s="23"/>
    </row>
    <row r="160" spans="1:34" hidden="1">
      <c r="A160" t="s">
        <v>114</v>
      </c>
      <c r="B160" s="18">
        <v>46</v>
      </c>
      <c r="C160" s="1">
        <v>45944</v>
      </c>
      <c r="D160" s="1">
        <v>45944</v>
      </c>
      <c r="E160" s="19" t="s">
        <v>19</v>
      </c>
      <c r="F160" s="19">
        <v>5148</v>
      </c>
      <c r="G160" s="2" t="s">
        <v>20</v>
      </c>
      <c r="H160" s="3">
        <v>385.7</v>
      </c>
      <c r="I160" s="4">
        <v>165.25</v>
      </c>
      <c r="J160" s="4">
        <f t="shared" si="64"/>
        <v>63736.924999999996</v>
      </c>
      <c r="K160" s="4">
        <f t="shared" si="89"/>
        <v>173.51250000000002</v>
      </c>
      <c r="L160" s="1">
        <f t="shared" si="96"/>
        <v>45960</v>
      </c>
      <c r="M160" s="21">
        <f t="shared" si="77"/>
        <v>66923.771250000005</v>
      </c>
      <c r="N160" s="22" t="s">
        <v>98</v>
      </c>
      <c r="O160" s="2"/>
      <c r="P160" s="7">
        <f t="shared" si="94"/>
        <v>7</v>
      </c>
      <c r="Q160" s="66">
        <f t="shared" si="95"/>
        <v>231.02452541095892</v>
      </c>
      <c r="R160" s="2"/>
      <c r="S160" s="2">
        <v>21149</v>
      </c>
      <c r="T160" s="2"/>
      <c r="U160" s="2" t="s">
        <v>107</v>
      </c>
      <c r="V160" s="1">
        <v>45994</v>
      </c>
      <c r="W160" s="23">
        <v>45969</v>
      </c>
      <c r="Y160" s="18"/>
      <c r="Z160" s="1"/>
      <c r="AA160" s="1"/>
      <c r="AB160" s="2"/>
      <c r="AC160" s="3"/>
      <c r="AD160" s="4"/>
      <c r="AE160" s="4"/>
      <c r="AF160" s="24"/>
      <c r="AG160" s="2"/>
      <c r="AH160" s="23"/>
    </row>
    <row r="161" spans="1:34" hidden="1">
      <c r="A161" t="s">
        <v>114</v>
      </c>
      <c r="B161" s="18">
        <v>47</v>
      </c>
      <c r="C161" s="1">
        <v>45947</v>
      </c>
      <c r="D161" s="1">
        <v>45946</v>
      </c>
      <c r="E161" s="19" t="s">
        <v>19</v>
      </c>
      <c r="F161" s="19">
        <v>5148</v>
      </c>
      <c r="G161" s="2" t="s">
        <v>20</v>
      </c>
      <c r="H161" s="3">
        <v>771.02</v>
      </c>
      <c r="I161" s="4">
        <v>166.2</v>
      </c>
      <c r="J161" s="4">
        <f t="shared" si="64"/>
        <v>128143.52399999999</v>
      </c>
      <c r="K161" s="4">
        <f t="shared" si="89"/>
        <v>174.51</v>
      </c>
      <c r="L161" s="1">
        <f t="shared" si="96"/>
        <v>45963</v>
      </c>
      <c r="M161" s="21">
        <f t="shared" si="77"/>
        <v>134550.70019999999</v>
      </c>
      <c r="N161" s="22" t="s">
        <v>98</v>
      </c>
      <c r="O161" s="2"/>
      <c r="P161" s="7">
        <f t="shared" si="94"/>
        <v>5</v>
      </c>
      <c r="Q161" s="66">
        <f t="shared" si="95"/>
        <v>331.7688498082191</v>
      </c>
      <c r="R161" s="2"/>
      <c r="S161" s="2">
        <v>21375</v>
      </c>
      <c r="T161" s="2"/>
      <c r="U161" s="2" t="s">
        <v>107</v>
      </c>
      <c r="V161" s="1">
        <v>45994</v>
      </c>
      <c r="W161" s="23">
        <v>45969</v>
      </c>
      <c r="Y161" s="18"/>
      <c r="Z161" s="1"/>
      <c r="AA161" s="1"/>
      <c r="AB161" s="2"/>
      <c r="AC161" s="3"/>
      <c r="AD161" s="4"/>
      <c r="AE161" s="4"/>
      <c r="AF161" s="24"/>
      <c r="AG161" s="2"/>
      <c r="AH161" s="23"/>
    </row>
    <row r="162" spans="1:34" hidden="1">
      <c r="A162" t="s">
        <v>114</v>
      </c>
      <c r="B162" s="18">
        <v>48</v>
      </c>
      <c r="C162" s="1">
        <v>45947</v>
      </c>
      <c r="D162" s="1">
        <v>45946</v>
      </c>
      <c r="E162" s="19" t="s">
        <v>110</v>
      </c>
      <c r="F162" s="19"/>
      <c r="G162" s="2" t="s">
        <v>22</v>
      </c>
      <c r="H162" s="3">
        <v>182.37</v>
      </c>
      <c r="I162" s="4">
        <v>323.29000000000002</v>
      </c>
      <c r="J162" s="4">
        <f t="shared" si="64"/>
        <v>58958.397300000004</v>
      </c>
      <c r="K162" s="4">
        <f t="shared" si="89"/>
        <v>339.45450000000005</v>
      </c>
      <c r="L162" s="1">
        <f t="shared" ref="L162:L163" si="97">D162+18</f>
        <v>45964</v>
      </c>
      <c r="M162" s="21">
        <f t="shared" si="77"/>
        <v>61906.317165000008</v>
      </c>
      <c r="N162" s="22" t="s">
        <v>99</v>
      </c>
      <c r="O162" s="2"/>
      <c r="P162" s="7">
        <f t="shared" ref="P162:P183" si="98">DAYS360(L162,W162)-(1)</f>
        <v>4</v>
      </c>
      <c r="Q162" s="66">
        <f t="shared" ref="Q162:Q169" si="99">0.18*P162*M162/365</f>
        <v>122.11657084602741</v>
      </c>
      <c r="R162" s="2"/>
      <c r="S162" s="2">
        <v>2103</v>
      </c>
      <c r="T162" s="2"/>
      <c r="U162" s="2"/>
      <c r="V162" s="2"/>
      <c r="W162" s="23">
        <v>45969</v>
      </c>
      <c r="Y162" s="18"/>
      <c r="Z162" s="1"/>
      <c r="AA162" s="1"/>
      <c r="AB162" s="2"/>
      <c r="AC162" s="3"/>
      <c r="AD162" s="4"/>
      <c r="AE162" s="4"/>
      <c r="AF162" s="24"/>
      <c r="AG162" s="2"/>
      <c r="AH162" s="23"/>
    </row>
    <row r="163" spans="1:34" ht="15.75" hidden="1" thickBot="1">
      <c r="A163" t="s">
        <v>114</v>
      </c>
      <c r="B163" s="27">
        <v>49</v>
      </c>
      <c r="C163" s="28">
        <v>45947</v>
      </c>
      <c r="D163" s="28">
        <v>45947</v>
      </c>
      <c r="E163" s="29" t="s">
        <v>110</v>
      </c>
      <c r="F163" s="29"/>
      <c r="G163" s="30" t="s">
        <v>22</v>
      </c>
      <c r="H163" s="73">
        <v>182.37</v>
      </c>
      <c r="I163" s="32">
        <v>323.29000000000002</v>
      </c>
      <c r="J163" s="32">
        <f t="shared" si="64"/>
        <v>58958.397300000004</v>
      </c>
      <c r="K163" s="32">
        <f t="shared" si="89"/>
        <v>339.45450000000005</v>
      </c>
      <c r="L163" s="35">
        <f t="shared" si="97"/>
        <v>45965</v>
      </c>
      <c r="M163" s="81">
        <f t="shared" si="77"/>
        <v>61906.317165000008</v>
      </c>
      <c r="N163" s="80" t="s">
        <v>99</v>
      </c>
      <c r="O163" s="30"/>
      <c r="P163" s="7">
        <f t="shared" si="98"/>
        <v>3</v>
      </c>
      <c r="Q163" s="66">
        <f t="shared" si="99"/>
        <v>91.587428134520565</v>
      </c>
      <c r="R163" s="30"/>
      <c r="S163" s="30">
        <v>2118</v>
      </c>
      <c r="T163" s="30"/>
      <c r="U163" s="30"/>
      <c r="V163" s="30"/>
      <c r="W163" s="35">
        <v>45969</v>
      </c>
      <c r="Y163" s="18"/>
      <c r="Z163" s="1"/>
      <c r="AA163" s="1"/>
      <c r="AB163" s="2"/>
      <c r="AC163" s="3"/>
      <c r="AD163" s="4"/>
      <c r="AE163" s="4"/>
      <c r="AF163" s="24"/>
      <c r="AG163" s="2"/>
      <c r="AH163" s="23"/>
    </row>
    <row r="164" spans="1:34" hidden="1">
      <c r="A164" t="s">
        <v>114</v>
      </c>
      <c r="B164" s="18">
        <v>50</v>
      </c>
      <c r="C164" s="1">
        <v>45955</v>
      </c>
      <c r="D164" s="1">
        <v>45952</v>
      </c>
      <c r="E164" s="19" t="s">
        <v>110</v>
      </c>
      <c r="F164" s="19"/>
      <c r="G164" s="2" t="s">
        <v>22</v>
      </c>
      <c r="H164" s="3">
        <v>370.34</v>
      </c>
      <c r="I164" s="4">
        <v>323.2396</v>
      </c>
      <c r="J164" s="4">
        <f t="shared" si="64"/>
        <v>119708.553464</v>
      </c>
      <c r="K164" s="4">
        <f t="shared" si="89"/>
        <v>339.40158000000002</v>
      </c>
      <c r="L164" s="1">
        <f>C164+18</f>
        <v>45973</v>
      </c>
      <c r="M164" s="21">
        <f t="shared" si="77"/>
        <v>125693.9811372</v>
      </c>
      <c r="N164" s="22" t="s">
        <v>99</v>
      </c>
      <c r="O164" s="2"/>
      <c r="P164" s="7">
        <f t="shared" si="98"/>
        <v>-2</v>
      </c>
      <c r="Q164" s="66">
        <f t="shared" si="99"/>
        <v>-123.97214577915615</v>
      </c>
      <c r="R164" s="2"/>
      <c r="S164" s="2">
        <v>2164</v>
      </c>
      <c r="T164" s="2"/>
      <c r="U164" s="2"/>
      <c r="V164" s="2"/>
      <c r="W164" s="23">
        <v>45972</v>
      </c>
      <c r="Y164" s="18"/>
      <c r="Z164" s="1"/>
      <c r="AA164" s="1"/>
      <c r="AB164" s="2"/>
      <c r="AC164" s="3"/>
      <c r="AD164" s="4"/>
      <c r="AE164" s="4"/>
      <c r="AF164" s="24"/>
      <c r="AG164" s="2"/>
      <c r="AH164" s="23"/>
    </row>
    <row r="165" spans="1:34" hidden="1">
      <c r="A165" t="s">
        <v>114</v>
      </c>
      <c r="B165" s="18">
        <v>51</v>
      </c>
      <c r="C165" s="1">
        <v>45955</v>
      </c>
      <c r="D165" s="1">
        <v>45953</v>
      </c>
      <c r="E165" s="19" t="s">
        <v>110</v>
      </c>
      <c r="F165" s="19"/>
      <c r="G165" s="2" t="s">
        <v>22</v>
      </c>
      <c r="H165" s="3">
        <v>370.34</v>
      </c>
      <c r="I165" s="4">
        <v>323.2396</v>
      </c>
      <c r="J165" s="4">
        <f t="shared" si="64"/>
        <v>119708.553464</v>
      </c>
      <c r="K165" s="4">
        <f t="shared" si="89"/>
        <v>339.40158000000002</v>
      </c>
      <c r="L165" s="1">
        <f>C165+18</f>
        <v>45973</v>
      </c>
      <c r="M165" s="21">
        <f t="shared" si="77"/>
        <v>125693.9811372</v>
      </c>
      <c r="N165" s="22" t="s">
        <v>99</v>
      </c>
      <c r="O165" s="2"/>
      <c r="P165" s="7">
        <f t="shared" si="98"/>
        <v>-2</v>
      </c>
      <c r="Q165" s="66">
        <f t="shared" si="99"/>
        <v>-123.97214577915615</v>
      </c>
      <c r="R165" s="2"/>
      <c r="S165" s="2">
        <v>2165</v>
      </c>
      <c r="T165" s="2"/>
      <c r="U165" s="2"/>
      <c r="V165" s="2"/>
      <c r="W165" s="23">
        <v>45972</v>
      </c>
      <c r="Y165" s="18"/>
      <c r="Z165" s="1"/>
      <c r="AA165" s="1"/>
      <c r="AB165" s="2"/>
      <c r="AC165" s="3"/>
      <c r="AD165" s="4"/>
      <c r="AE165" s="4"/>
      <c r="AF165" s="24"/>
      <c r="AG165" s="2"/>
      <c r="AH165" s="23"/>
    </row>
    <row r="166" spans="1:34" hidden="1">
      <c r="A166" t="s">
        <v>114</v>
      </c>
      <c r="B166" s="18">
        <v>52</v>
      </c>
      <c r="C166" s="1">
        <v>45960</v>
      </c>
      <c r="D166" s="1">
        <v>45958</v>
      </c>
      <c r="E166" s="19" t="s">
        <v>19</v>
      </c>
      <c r="F166" s="19">
        <v>5148</v>
      </c>
      <c r="G166" s="2" t="s">
        <v>20</v>
      </c>
      <c r="H166" s="3">
        <v>769.5</v>
      </c>
      <c r="I166" s="4">
        <v>166.2</v>
      </c>
      <c r="J166" s="4">
        <f t="shared" si="64"/>
        <v>127890.9</v>
      </c>
      <c r="K166" s="4">
        <f t="shared" si="89"/>
        <v>174.51</v>
      </c>
      <c r="L166" s="1">
        <f t="shared" ref="L166:L169" si="100">C166+16</f>
        <v>45976</v>
      </c>
      <c r="M166" s="21">
        <f t="shared" si="77"/>
        <v>134285.44500000001</v>
      </c>
      <c r="N166" s="22" t="s">
        <v>98</v>
      </c>
      <c r="O166" s="2"/>
      <c r="P166" s="7">
        <f t="shared" si="98"/>
        <v>3</v>
      </c>
      <c r="Q166" s="66">
        <f t="shared" si="99"/>
        <v>198.6688775342466</v>
      </c>
      <c r="R166" s="2"/>
      <c r="S166" s="2">
        <v>22019</v>
      </c>
      <c r="T166" s="2"/>
      <c r="U166" s="2" t="s">
        <v>107</v>
      </c>
      <c r="V166" s="1">
        <v>45994</v>
      </c>
      <c r="W166" s="23">
        <v>45980</v>
      </c>
      <c r="Y166" s="18"/>
      <c r="Z166" s="1"/>
      <c r="AA166" s="1"/>
      <c r="AB166" s="2"/>
      <c r="AC166" s="3"/>
      <c r="AD166" s="4"/>
      <c r="AE166" s="4"/>
      <c r="AF166" s="24"/>
      <c r="AG166" s="2"/>
      <c r="AH166" s="23"/>
    </row>
    <row r="167" spans="1:34" hidden="1">
      <c r="A167" s="85" t="s">
        <v>114</v>
      </c>
      <c r="B167" s="86">
        <v>53</v>
      </c>
      <c r="C167" s="87">
        <v>45960</v>
      </c>
      <c r="D167" s="87">
        <v>45958</v>
      </c>
      <c r="E167" s="88" t="s">
        <v>19</v>
      </c>
      <c r="F167" s="88">
        <v>5148</v>
      </c>
      <c r="G167" s="89" t="s">
        <v>20</v>
      </c>
      <c r="H167" s="90">
        <v>385.04</v>
      </c>
      <c r="I167" s="91">
        <v>166.2</v>
      </c>
      <c r="J167" s="91">
        <f t="shared" si="64"/>
        <v>63993.648000000001</v>
      </c>
      <c r="K167" s="91">
        <f t="shared" si="89"/>
        <v>174.51</v>
      </c>
      <c r="L167" s="87">
        <f t="shared" si="100"/>
        <v>45976</v>
      </c>
      <c r="M167" s="92">
        <f t="shared" si="77"/>
        <v>67193.330400000006</v>
      </c>
      <c r="N167" s="93" t="s">
        <v>98</v>
      </c>
      <c r="O167" s="89"/>
      <c r="P167" s="94">
        <f t="shared" si="98"/>
        <v>3</v>
      </c>
      <c r="Q167" s="96">
        <f t="shared" si="99"/>
        <v>99.409310728767139</v>
      </c>
      <c r="R167" s="89"/>
      <c r="S167" s="89">
        <v>22020</v>
      </c>
      <c r="T167" s="89"/>
      <c r="U167" s="89" t="s">
        <v>107</v>
      </c>
      <c r="V167" s="87">
        <v>45994</v>
      </c>
      <c r="W167" s="95">
        <v>45980</v>
      </c>
      <c r="Y167" s="18"/>
      <c r="Z167" s="1"/>
      <c r="AA167" s="1"/>
      <c r="AB167" s="2"/>
      <c r="AC167" s="3"/>
      <c r="AD167" s="4"/>
      <c r="AE167" s="4"/>
      <c r="AF167" s="24"/>
      <c r="AG167" s="2"/>
      <c r="AH167" s="23"/>
    </row>
    <row r="168" spans="1:34" hidden="1">
      <c r="A168" s="97" t="s">
        <v>114</v>
      </c>
      <c r="B168" s="18">
        <v>54</v>
      </c>
      <c r="C168" s="1">
        <v>45962</v>
      </c>
      <c r="D168" s="1">
        <v>45962</v>
      </c>
      <c r="E168" s="19" t="s">
        <v>146</v>
      </c>
      <c r="F168" s="19" t="s">
        <v>126</v>
      </c>
      <c r="G168" s="2" t="s">
        <v>85</v>
      </c>
      <c r="H168" s="3">
        <v>32</v>
      </c>
      <c r="I168" s="4">
        <v>317</v>
      </c>
      <c r="J168" s="4">
        <f t="shared" si="64"/>
        <v>10144</v>
      </c>
      <c r="K168" s="4">
        <f t="shared" si="89"/>
        <v>332.85</v>
      </c>
      <c r="L168" s="87">
        <f t="shared" si="100"/>
        <v>45978</v>
      </c>
      <c r="M168" s="21">
        <f t="shared" si="77"/>
        <v>10651.2</v>
      </c>
      <c r="N168" s="98" t="s">
        <v>97</v>
      </c>
      <c r="O168" s="2"/>
      <c r="P168" s="7">
        <f t="shared" si="98"/>
        <v>86</v>
      </c>
      <c r="Q168" s="66">
        <f t="shared" si="99"/>
        <v>451.72760547945205</v>
      </c>
      <c r="R168" s="2"/>
      <c r="S168" s="2"/>
      <c r="T168" s="2"/>
      <c r="U168" s="2"/>
      <c r="V168" s="1"/>
      <c r="W168" s="23">
        <v>46067</v>
      </c>
      <c r="Y168" s="18"/>
      <c r="Z168" s="1"/>
      <c r="AA168" s="1"/>
      <c r="AB168" s="2"/>
      <c r="AC168" s="3"/>
      <c r="AD168" s="4"/>
      <c r="AE168" s="4"/>
      <c r="AF168" s="24"/>
      <c r="AG168" s="2"/>
      <c r="AH168" s="23"/>
    </row>
    <row r="169" spans="1:34" hidden="1">
      <c r="A169" t="s">
        <v>114</v>
      </c>
      <c r="B169" s="18">
        <v>55</v>
      </c>
      <c r="C169" s="1">
        <v>45968</v>
      </c>
      <c r="D169" s="1">
        <v>45967</v>
      </c>
      <c r="E169" s="19" t="s">
        <v>19</v>
      </c>
      <c r="F169" s="19">
        <v>5148</v>
      </c>
      <c r="G169" s="2" t="s">
        <v>20</v>
      </c>
      <c r="H169" s="3">
        <v>386.06</v>
      </c>
      <c r="I169" s="4">
        <v>165.25</v>
      </c>
      <c r="J169" s="4">
        <f t="shared" si="64"/>
        <v>63796.415000000001</v>
      </c>
      <c r="K169" s="4">
        <f t="shared" si="89"/>
        <v>173.51250000000002</v>
      </c>
      <c r="L169" s="1">
        <f t="shared" si="100"/>
        <v>45984</v>
      </c>
      <c r="M169" s="21">
        <f t="shared" si="77"/>
        <v>66986.235750000007</v>
      </c>
      <c r="N169" s="22" t="s">
        <v>98</v>
      </c>
      <c r="O169" s="2"/>
      <c r="P169" s="7">
        <f t="shared" si="98"/>
        <v>-5</v>
      </c>
      <c r="Q169" s="66">
        <f t="shared" si="99"/>
        <v>-165.17154020547946</v>
      </c>
      <c r="R169" s="2"/>
      <c r="S169" s="2">
        <v>22846</v>
      </c>
      <c r="T169" s="2"/>
      <c r="U169" s="2" t="s">
        <v>107</v>
      </c>
      <c r="V169" s="1">
        <v>45994</v>
      </c>
      <c r="W169" s="23">
        <v>45980</v>
      </c>
      <c r="Y169" s="18"/>
      <c r="Z169" s="1"/>
      <c r="AA169" s="1"/>
      <c r="AB169" s="2"/>
      <c r="AC169" s="3"/>
      <c r="AD169" s="4"/>
      <c r="AE169" s="4"/>
      <c r="AF169" s="24"/>
      <c r="AG169" s="2"/>
      <c r="AH169" s="23"/>
    </row>
    <row r="170" spans="1:34" hidden="1">
      <c r="A170" t="s">
        <v>114</v>
      </c>
      <c r="B170" s="18">
        <v>56</v>
      </c>
      <c r="C170" s="1">
        <v>45974</v>
      </c>
      <c r="D170" s="1">
        <v>45974</v>
      </c>
      <c r="E170" s="19" t="s">
        <v>115</v>
      </c>
      <c r="F170" s="19"/>
      <c r="G170" s="2" t="s">
        <v>116</v>
      </c>
      <c r="H170" s="3">
        <v>40.58</v>
      </c>
      <c r="I170" s="4">
        <v>335</v>
      </c>
      <c r="J170" s="4">
        <f t="shared" si="64"/>
        <v>13594.3</v>
      </c>
      <c r="K170" s="4">
        <f t="shared" si="89"/>
        <v>351.75</v>
      </c>
      <c r="L170" s="1">
        <f>D170+45</f>
        <v>46019</v>
      </c>
      <c r="M170" s="21">
        <f t="shared" si="77"/>
        <v>14274.014999999999</v>
      </c>
      <c r="N170" s="22" t="s">
        <v>97</v>
      </c>
      <c r="O170" s="2"/>
      <c r="P170" s="7">
        <f t="shared" si="98"/>
        <v>2</v>
      </c>
      <c r="Q170" s="2"/>
      <c r="R170" s="2"/>
      <c r="S170" s="2">
        <v>2701</v>
      </c>
      <c r="T170" s="2"/>
      <c r="U170" s="2"/>
      <c r="V170" s="2"/>
      <c r="W170" s="23">
        <v>46022</v>
      </c>
      <c r="Y170" s="18"/>
      <c r="Z170" s="1"/>
      <c r="AA170" s="1"/>
      <c r="AB170" s="2"/>
      <c r="AC170" s="3"/>
      <c r="AD170" s="4"/>
      <c r="AE170" s="4"/>
      <c r="AF170" s="24"/>
      <c r="AG170" s="2"/>
      <c r="AH170" s="23"/>
    </row>
    <row r="171" spans="1:34" hidden="1">
      <c r="A171" t="s">
        <v>114</v>
      </c>
      <c r="B171" s="18">
        <v>57</v>
      </c>
      <c r="C171" s="1">
        <v>45976</v>
      </c>
      <c r="D171" s="1">
        <v>45976</v>
      </c>
      <c r="E171" s="19" t="s">
        <v>110</v>
      </c>
      <c r="F171" s="19"/>
      <c r="G171" s="2" t="s">
        <v>22</v>
      </c>
      <c r="H171" s="3">
        <v>182.37</v>
      </c>
      <c r="I171" s="4">
        <v>323.28800000000001</v>
      </c>
      <c r="J171" s="4">
        <f t="shared" si="64"/>
        <v>58958.032560000007</v>
      </c>
      <c r="K171" s="4">
        <f t="shared" si="89"/>
        <v>339.45240000000001</v>
      </c>
      <c r="L171" s="1">
        <f t="shared" si="78"/>
        <v>45991</v>
      </c>
      <c r="M171" s="21">
        <f t="shared" si="77"/>
        <v>61905.934188000007</v>
      </c>
      <c r="N171" s="22" t="s">
        <v>97</v>
      </c>
      <c r="O171" s="2"/>
      <c r="P171" s="7">
        <f t="shared" si="98"/>
        <v>0</v>
      </c>
      <c r="Q171" s="2"/>
      <c r="R171" s="2"/>
      <c r="S171" s="2">
        <v>2354</v>
      </c>
      <c r="T171" s="2"/>
      <c r="U171" s="2"/>
      <c r="V171" s="2"/>
      <c r="W171" s="23">
        <v>45992</v>
      </c>
      <c r="Y171" s="18"/>
      <c r="Z171" s="1"/>
      <c r="AA171" s="1"/>
      <c r="AB171" s="2"/>
      <c r="AC171" s="3"/>
      <c r="AD171" s="4"/>
      <c r="AE171" s="4"/>
      <c r="AF171" s="24"/>
      <c r="AG171" s="2"/>
      <c r="AH171" s="23"/>
    </row>
    <row r="172" spans="1:34" hidden="1">
      <c r="A172" t="s">
        <v>114</v>
      </c>
      <c r="B172" s="18">
        <v>58</v>
      </c>
      <c r="C172" s="1">
        <v>45976</v>
      </c>
      <c r="D172" s="1">
        <v>45976</v>
      </c>
      <c r="E172" s="19" t="s">
        <v>110</v>
      </c>
      <c r="F172" s="19"/>
      <c r="G172" s="2" t="s">
        <v>22</v>
      </c>
      <c r="H172" s="3">
        <v>190.79</v>
      </c>
      <c r="I172" s="4">
        <v>313.14400000000001</v>
      </c>
      <c r="J172" s="4">
        <f t="shared" si="64"/>
        <v>59744.743759999998</v>
      </c>
      <c r="K172" s="4">
        <f t="shared" si="89"/>
        <v>328.80119999999999</v>
      </c>
      <c r="L172" s="1">
        <f t="shared" si="78"/>
        <v>45991</v>
      </c>
      <c r="M172" s="21">
        <f t="shared" si="77"/>
        <v>62731.980947999997</v>
      </c>
      <c r="N172" s="22" t="s">
        <v>97</v>
      </c>
      <c r="O172" s="2"/>
      <c r="P172" s="7">
        <f t="shared" si="98"/>
        <v>0</v>
      </c>
      <c r="Q172" s="2"/>
      <c r="R172" s="2"/>
      <c r="S172" s="2">
        <v>2355</v>
      </c>
      <c r="T172" s="2"/>
      <c r="U172" s="2"/>
      <c r="V172" s="2"/>
      <c r="W172" s="23">
        <v>45992</v>
      </c>
      <c r="Y172" s="18"/>
      <c r="Z172" s="1"/>
      <c r="AA172" s="1"/>
      <c r="AB172" s="2"/>
      <c r="AC172" s="3"/>
      <c r="AD172" s="4"/>
      <c r="AE172" s="4"/>
      <c r="AF172" s="24"/>
      <c r="AG172" s="2"/>
      <c r="AH172" s="23"/>
    </row>
    <row r="173" spans="1:34" hidden="1">
      <c r="A173" t="s">
        <v>114</v>
      </c>
      <c r="B173" s="18">
        <v>59</v>
      </c>
      <c r="C173" s="1">
        <v>45977</v>
      </c>
      <c r="D173" s="1">
        <v>45976</v>
      </c>
      <c r="E173" s="19" t="s">
        <v>110</v>
      </c>
      <c r="F173" s="19"/>
      <c r="G173" s="2" t="s">
        <v>22</v>
      </c>
      <c r="H173" s="3">
        <v>381.58</v>
      </c>
      <c r="I173" s="4">
        <v>313.14400000000001</v>
      </c>
      <c r="J173" s="4">
        <f t="shared" si="64"/>
        <v>119489.48752</v>
      </c>
      <c r="K173" s="4">
        <f t="shared" si="89"/>
        <v>328.80119999999999</v>
      </c>
      <c r="L173" s="1">
        <f t="shared" si="78"/>
        <v>45991</v>
      </c>
      <c r="M173" s="21">
        <f t="shared" si="77"/>
        <v>125463.96189599999</v>
      </c>
      <c r="N173" s="22" t="s">
        <v>97</v>
      </c>
      <c r="O173" s="2"/>
      <c r="P173" s="7">
        <f t="shared" si="98"/>
        <v>0</v>
      </c>
      <c r="Q173" s="2"/>
      <c r="R173" s="2"/>
      <c r="S173" s="2">
        <v>2364</v>
      </c>
      <c r="T173" s="2"/>
      <c r="U173" s="2"/>
      <c r="V173" s="2"/>
      <c r="W173" s="23">
        <v>45992</v>
      </c>
      <c r="Y173" s="18"/>
      <c r="Z173" s="1"/>
      <c r="AA173" s="1"/>
      <c r="AB173" s="2"/>
      <c r="AC173" s="3"/>
      <c r="AD173" s="4"/>
      <c r="AE173" s="4"/>
      <c r="AF173" s="24"/>
      <c r="AG173" s="2"/>
      <c r="AH173" s="23"/>
    </row>
    <row r="174" spans="1:34" hidden="1">
      <c r="A174" t="s">
        <v>114</v>
      </c>
      <c r="B174" s="18">
        <v>60</v>
      </c>
      <c r="C174" s="1">
        <v>45979</v>
      </c>
      <c r="D174" s="1">
        <v>45976</v>
      </c>
      <c r="E174" s="19" t="s">
        <v>91</v>
      </c>
      <c r="F174" s="19"/>
      <c r="G174" s="2" t="s">
        <v>20</v>
      </c>
      <c r="H174" s="3">
        <v>773.53</v>
      </c>
      <c r="I174" s="4">
        <v>147.19999999999999</v>
      </c>
      <c r="J174" s="4">
        <f t="shared" si="64"/>
        <v>113863.61599999998</v>
      </c>
      <c r="K174" s="4">
        <f t="shared" si="89"/>
        <v>154.56</v>
      </c>
      <c r="L174" s="1">
        <f t="shared" si="78"/>
        <v>45991</v>
      </c>
      <c r="M174" s="21">
        <f t="shared" si="77"/>
        <v>119556.7968</v>
      </c>
      <c r="N174" s="22" t="s">
        <v>99</v>
      </c>
      <c r="O174" s="2"/>
      <c r="P174" s="7">
        <f t="shared" si="98"/>
        <v>7</v>
      </c>
      <c r="Q174" s="66"/>
      <c r="R174" s="2"/>
      <c r="S174" s="2">
        <v>34312</v>
      </c>
      <c r="T174" s="1">
        <v>46069</v>
      </c>
      <c r="U174" s="2"/>
      <c r="V174" s="2"/>
      <c r="W174" s="23">
        <v>45999</v>
      </c>
      <c r="Y174" s="18"/>
      <c r="Z174" s="1"/>
      <c r="AA174" s="1"/>
      <c r="AB174" s="2"/>
      <c r="AC174" s="3"/>
      <c r="AD174" s="4"/>
      <c r="AE174" s="4"/>
      <c r="AF174" s="24"/>
      <c r="AG174" s="2"/>
      <c r="AH174" s="23"/>
    </row>
    <row r="175" spans="1:34" hidden="1">
      <c r="A175" t="s">
        <v>114</v>
      </c>
      <c r="B175" s="18">
        <v>61</v>
      </c>
      <c r="C175" s="1">
        <v>45979</v>
      </c>
      <c r="D175" s="1">
        <v>45978</v>
      </c>
      <c r="E175" s="19" t="s">
        <v>91</v>
      </c>
      <c r="F175" s="19"/>
      <c r="G175" s="2" t="s">
        <v>20</v>
      </c>
      <c r="H175" s="3">
        <v>386.82</v>
      </c>
      <c r="I175" s="4">
        <v>147.19999999999999</v>
      </c>
      <c r="J175" s="4">
        <f t="shared" si="64"/>
        <v>56939.903999999995</v>
      </c>
      <c r="K175" s="4">
        <f t="shared" si="89"/>
        <v>154.56</v>
      </c>
      <c r="L175" s="1">
        <f>D175+18</f>
        <v>45996</v>
      </c>
      <c r="M175" s="21">
        <f t="shared" si="77"/>
        <v>59786.8992</v>
      </c>
      <c r="N175" s="22" t="s">
        <v>99</v>
      </c>
      <c r="O175" s="2"/>
      <c r="P175" s="7">
        <f t="shared" si="98"/>
        <v>2</v>
      </c>
      <c r="Q175" s="66"/>
      <c r="R175" s="2"/>
      <c r="S175" s="2">
        <v>34390</v>
      </c>
      <c r="T175" s="1">
        <v>46069</v>
      </c>
      <c r="U175" s="2"/>
      <c r="V175" s="2"/>
      <c r="W175" s="23">
        <v>45999</v>
      </c>
      <c r="Y175" s="18"/>
      <c r="Z175" s="1"/>
      <c r="AA175" s="1"/>
      <c r="AB175" s="2"/>
      <c r="AC175" s="3"/>
      <c r="AD175" s="4"/>
      <c r="AE175" s="4"/>
      <c r="AF175" s="24"/>
      <c r="AG175" s="2"/>
      <c r="AH175" s="23"/>
    </row>
    <row r="176" spans="1:34" hidden="1">
      <c r="A176" t="s">
        <v>114</v>
      </c>
      <c r="B176" s="18">
        <v>62</v>
      </c>
      <c r="C176" s="1">
        <v>45979</v>
      </c>
      <c r="D176" s="1">
        <v>45977</v>
      </c>
      <c r="E176" s="19" t="s">
        <v>19</v>
      </c>
      <c r="F176" s="19">
        <v>5148</v>
      </c>
      <c r="G176" s="2" t="s">
        <v>20</v>
      </c>
      <c r="H176" s="3">
        <v>386.7</v>
      </c>
      <c r="I176" s="4">
        <v>164.25</v>
      </c>
      <c r="J176" s="4">
        <f t="shared" si="64"/>
        <v>63515.474999999999</v>
      </c>
      <c r="K176" s="4">
        <f t="shared" si="89"/>
        <v>172.46250000000001</v>
      </c>
      <c r="L176" s="1">
        <f t="shared" ref="L176:L178" si="101">D176+18</f>
        <v>45995</v>
      </c>
      <c r="M176" s="21">
        <f t="shared" si="77"/>
        <v>66691.248749999999</v>
      </c>
      <c r="N176" s="22" t="s">
        <v>99</v>
      </c>
      <c r="O176" s="2"/>
      <c r="P176" s="7">
        <f t="shared" si="98"/>
        <v>26</v>
      </c>
      <c r="Q176" s="66">
        <f t="shared" ref="Q176:Q178" si="102">0.18*P176*M176/365</f>
        <v>855.10970999999995</v>
      </c>
      <c r="R176" s="2"/>
      <c r="S176" s="2">
        <v>23850</v>
      </c>
      <c r="T176" s="2"/>
      <c r="U176" s="2" t="s">
        <v>107</v>
      </c>
      <c r="V176" s="1">
        <v>46127</v>
      </c>
      <c r="W176" s="23">
        <v>46022</v>
      </c>
      <c r="Y176" s="18"/>
      <c r="Z176" s="1"/>
      <c r="AA176" s="1"/>
      <c r="AB176" s="2"/>
      <c r="AC176" s="3"/>
      <c r="AD176" s="4"/>
      <c r="AE176" s="4"/>
      <c r="AF176" s="24"/>
      <c r="AG176" s="2"/>
      <c r="AH176" s="23"/>
    </row>
    <row r="177" spans="1:34" hidden="1">
      <c r="A177" t="s">
        <v>114</v>
      </c>
      <c r="B177" s="18">
        <v>63</v>
      </c>
      <c r="C177" s="1">
        <v>45979</v>
      </c>
      <c r="D177" s="1">
        <v>45978</v>
      </c>
      <c r="E177" s="19" t="s">
        <v>19</v>
      </c>
      <c r="F177" s="19">
        <v>5148</v>
      </c>
      <c r="G177" s="2" t="s">
        <v>20</v>
      </c>
      <c r="H177" s="3">
        <v>386.42</v>
      </c>
      <c r="I177" s="4">
        <v>165.2</v>
      </c>
      <c r="J177" s="4">
        <f t="shared" si="64"/>
        <v>63836.583999999995</v>
      </c>
      <c r="K177" s="4">
        <f t="shared" si="89"/>
        <v>173.46</v>
      </c>
      <c r="L177" s="1">
        <f t="shared" si="101"/>
        <v>45996</v>
      </c>
      <c r="M177" s="21">
        <f t="shared" si="77"/>
        <v>67028.41320000001</v>
      </c>
      <c r="N177" s="22" t="s">
        <v>99</v>
      </c>
      <c r="O177" s="2"/>
      <c r="P177" s="7">
        <f t="shared" si="98"/>
        <v>25</v>
      </c>
      <c r="Q177" s="66">
        <f t="shared" si="102"/>
        <v>826.37769698630154</v>
      </c>
      <c r="R177" s="2"/>
      <c r="S177" s="2">
        <v>23888</v>
      </c>
      <c r="T177" s="2"/>
      <c r="U177" s="2" t="s">
        <v>107</v>
      </c>
      <c r="V177" s="1">
        <v>46127</v>
      </c>
      <c r="W177" s="23">
        <v>46022</v>
      </c>
      <c r="Y177" s="18"/>
      <c r="Z177" s="1"/>
      <c r="AA177" s="1"/>
      <c r="AB177" s="2"/>
      <c r="AC177" s="3"/>
      <c r="AD177" s="4"/>
      <c r="AE177" s="4"/>
      <c r="AF177" s="24"/>
      <c r="AG177" s="2"/>
      <c r="AH177" s="23"/>
    </row>
    <row r="178" spans="1:34" hidden="1">
      <c r="A178" t="s">
        <v>114</v>
      </c>
      <c r="B178" s="18">
        <v>64</v>
      </c>
      <c r="C178" s="1">
        <v>45982</v>
      </c>
      <c r="D178" s="1">
        <v>45981</v>
      </c>
      <c r="E178" s="19" t="s">
        <v>19</v>
      </c>
      <c r="F178" s="19">
        <v>5148</v>
      </c>
      <c r="G178" s="2" t="s">
        <v>20</v>
      </c>
      <c r="H178" s="3">
        <v>386.26</v>
      </c>
      <c r="I178" s="4">
        <v>165.2</v>
      </c>
      <c r="J178" s="4">
        <f t="shared" si="64"/>
        <v>63810.151999999995</v>
      </c>
      <c r="K178" s="4">
        <f t="shared" si="89"/>
        <v>173.46</v>
      </c>
      <c r="L178" s="1">
        <f t="shared" si="101"/>
        <v>45999</v>
      </c>
      <c r="M178" s="21">
        <f t="shared" si="77"/>
        <v>67000.659599999999</v>
      </c>
      <c r="N178" s="22" t="s">
        <v>99</v>
      </c>
      <c r="O178" s="2"/>
      <c r="P178" s="7">
        <f t="shared" si="98"/>
        <v>22</v>
      </c>
      <c r="Q178" s="66">
        <f t="shared" si="102"/>
        <v>726.91126579726017</v>
      </c>
      <c r="R178" s="2"/>
      <c r="S178" s="2">
        <v>24178</v>
      </c>
      <c r="T178" s="2"/>
      <c r="U178" s="2" t="s">
        <v>107</v>
      </c>
      <c r="V178" s="1">
        <v>46127</v>
      </c>
      <c r="W178" s="23">
        <v>46022</v>
      </c>
      <c r="Y178" s="18"/>
      <c r="Z178" s="1"/>
      <c r="AA178" s="1"/>
      <c r="AB178" s="2"/>
      <c r="AC178" s="3"/>
      <c r="AD178" s="4"/>
      <c r="AE178" s="4"/>
      <c r="AF178" s="24"/>
      <c r="AG178" s="2"/>
      <c r="AH178" s="23"/>
    </row>
    <row r="179" spans="1:34" hidden="1">
      <c r="A179" t="s">
        <v>114</v>
      </c>
      <c r="B179" s="18">
        <v>65</v>
      </c>
      <c r="C179" s="1">
        <v>45982</v>
      </c>
      <c r="D179" s="1">
        <v>45982</v>
      </c>
      <c r="E179" s="19" t="s">
        <v>91</v>
      </c>
      <c r="F179" s="19" t="s">
        <v>121</v>
      </c>
      <c r="G179" s="2" t="s">
        <v>85</v>
      </c>
      <c r="H179" s="3">
        <v>256</v>
      </c>
      <c r="I179" s="4">
        <v>294</v>
      </c>
      <c r="J179" s="4">
        <f t="shared" si="64"/>
        <v>75264</v>
      </c>
      <c r="K179" s="4">
        <f t="shared" si="89"/>
        <v>308.7</v>
      </c>
      <c r="L179" s="1">
        <f>D179+18</f>
        <v>46000</v>
      </c>
      <c r="M179" s="21">
        <f t="shared" si="77"/>
        <v>79027.199999999997</v>
      </c>
      <c r="N179" s="22" t="s">
        <v>99</v>
      </c>
      <c r="O179" s="2"/>
      <c r="P179" s="7">
        <f>DAYS360(L179,W179)-(1)</f>
        <v>-2</v>
      </c>
      <c r="Q179" s="66"/>
      <c r="R179" s="2"/>
      <c r="S179" s="2" t="s">
        <v>122</v>
      </c>
      <c r="T179" s="1">
        <v>46069</v>
      </c>
      <c r="U179" s="2"/>
      <c r="V179" s="2"/>
      <c r="W179" s="23">
        <v>45999</v>
      </c>
      <c r="Y179" s="18"/>
      <c r="Z179" s="1"/>
      <c r="AA179" s="1"/>
      <c r="AB179" s="2"/>
      <c r="AC179" s="3"/>
      <c r="AD179" s="4"/>
      <c r="AE179" s="4"/>
      <c r="AF179" s="24"/>
      <c r="AG179" s="2"/>
      <c r="AH179" s="23"/>
    </row>
    <row r="180" spans="1:34" hidden="1">
      <c r="A180" t="s">
        <v>114</v>
      </c>
      <c r="B180" s="18">
        <v>66</v>
      </c>
      <c r="C180" s="1">
        <v>45985</v>
      </c>
      <c r="D180" s="1">
        <v>45983</v>
      </c>
      <c r="E180" s="19" t="s">
        <v>19</v>
      </c>
      <c r="F180" s="19"/>
      <c r="G180" s="2" t="s">
        <v>20</v>
      </c>
      <c r="H180" s="3">
        <v>387.78</v>
      </c>
      <c r="I180" s="4">
        <v>165.2</v>
      </c>
      <c r="J180" s="4">
        <f t="shared" si="64"/>
        <v>64061.255999999994</v>
      </c>
      <c r="K180" s="4">
        <f t="shared" si="89"/>
        <v>173.46</v>
      </c>
      <c r="L180" s="1">
        <f t="shared" ref="L180" si="103">D180+18</f>
        <v>46001</v>
      </c>
      <c r="M180" s="21">
        <f t="shared" si="77"/>
        <v>67264.318799999994</v>
      </c>
      <c r="N180" s="22" t="s">
        <v>99</v>
      </c>
      <c r="O180" s="2"/>
      <c r="P180" s="7">
        <f t="shared" si="98"/>
        <v>20</v>
      </c>
      <c r="Q180" s="66">
        <f t="shared" ref="Q180" si="104">0.18*P180*M180/365</f>
        <v>663.42889775342451</v>
      </c>
      <c r="R180" s="2"/>
      <c r="S180" s="2">
        <v>24341</v>
      </c>
      <c r="T180" s="2"/>
      <c r="U180" s="2" t="s">
        <v>107</v>
      </c>
      <c r="V180" s="1">
        <v>46127</v>
      </c>
      <c r="W180" s="23">
        <v>46022</v>
      </c>
      <c r="Y180" s="18"/>
      <c r="Z180" s="1"/>
      <c r="AA180" s="1"/>
      <c r="AB180" s="2"/>
      <c r="AC180" s="3"/>
      <c r="AD180" s="4"/>
      <c r="AE180" s="4"/>
      <c r="AF180" s="24"/>
      <c r="AG180" s="2"/>
      <c r="AH180" s="23"/>
    </row>
    <row r="181" spans="1:34" hidden="1">
      <c r="A181" t="s">
        <v>114</v>
      </c>
      <c r="B181" s="18">
        <v>67</v>
      </c>
      <c r="C181" s="1">
        <v>45985</v>
      </c>
      <c r="D181" s="1">
        <v>45985</v>
      </c>
      <c r="E181" s="19" t="s">
        <v>91</v>
      </c>
      <c r="F181" s="19">
        <v>110</v>
      </c>
      <c r="G181" s="99" t="s">
        <v>166</v>
      </c>
      <c r="H181" s="3">
        <v>771.48</v>
      </c>
      <c r="I181" s="4">
        <v>185.71430000000001</v>
      </c>
      <c r="J181" s="4">
        <f t="shared" si="64"/>
        <v>143274.86816400001</v>
      </c>
      <c r="K181" s="4">
        <f t="shared" si="89"/>
        <v>195.00001500000002</v>
      </c>
      <c r="L181" s="1">
        <f>D181+18</f>
        <v>46003</v>
      </c>
      <c r="M181" s="21">
        <f t="shared" si="77"/>
        <v>150438.61157220002</v>
      </c>
      <c r="N181" s="22" t="s">
        <v>99</v>
      </c>
      <c r="O181" s="2"/>
      <c r="P181" s="7">
        <f t="shared" si="98"/>
        <v>-2</v>
      </c>
      <c r="Q181" s="66"/>
      <c r="R181" s="2"/>
      <c r="S181" s="2" t="s">
        <v>123</v>
      </c>
      <c r="T181" s="1">
        <v>46069</v>
      </c>
      <c r="U181" s="2"/>
      <c r="V181" s="2"/>
      <c r="W181" s="23">
        <v>46002</v>
      </c>
      <c r="Y181" s="18"/>
      <c r="Z181" s="1"/>
      <c r="AA181" s="1"/>
      <c r="AB181" s="2"/>
      <c r="AC181" s="3"/>
      <c r="AD181" s="4"/>
      <c r="AE181" s="4"/>
      <c r="AF181" s="24"/>
      <c r="AG181" s="2"/>
      <c r="AH181" s="23"/>
    </row>
    <row r="182" spans="1:34" hidden="1">
      <c r="A182" t="s">
        <v>114</v>
      </c>
      <c r="B182" s="18">
        <v>68</v>
      </c>
      <c r="C182" s="1">
        <v>45991</v>
      </c>
      <c r="D182" s="1">
        <v>45990</v>
      </c>
      <c r="E182" s="19" t="s">
        <v>91</v>
      </c>
      <c r="F182" s="19"/>
      <c r="G182" s="2" t="s">
        <v>20</v>
      </c>
      <c r="H182" s="3">
        <v>1155.92</v>
      </c>
      <c r="I182" s="4">
        <v>153.33330000000001</v>
      </c>
      <c r="J182" s="4">
        <f t="shared" si="64"/>
        <v>177241.02813600001</v>
      </c>
      <c r="K182" s="4">
        <f t="shared" si="89"/>
        <v>160.999965</v>
      </c>
      <c r="L182" s="1">
        <f>D182+18</f>
        <v>46008</v>
      </c>
      <c r="M182" s="21">
        <f t="shared" si="77"/>
        <v>186103.07954280003</v>
      </c>
      <c r="N182" s="22" t="s">
        <v>99</v>
      </c>
      <c r="O182" s="2"/>
      <c r="P182" s="7">
        <f t="shared" si="98"/>
        <v>11</v>
      </c>
      <c r="Q182" s="66">
        <f t="shared" ref="Q182:Q183" si="105">0.18*P182*M182/365</f>
        <v>1009.5454725883399</v>
      </c>
      <c r="R182" s="2"/>
      <c r="S182" s="2" t="s">
        <v>124</v>
      </c>
      <c r="T182" s="1">
        <v>46069</v>
      </c>
      <c r="U182" s="2"/>
      <c r="V182" s="2"/>
      <c r="W182" s="23">
        <v>46020</v>
      </c>
      <c r="Y182" s="18"/>
      <c r="Z182" s="1"/>
      <c r="AA182" s="1"/>
      <c r="AB182" s="2"/>
      <c r="AC182" s="3"/>
      <c r="AD182" s="4"/>
      <c r="AE182" s="4"/>
      <c r="AF182" s="24"/>
      <c r="AG182" s="2"/>
      <c r="AH182" s="23"/>
    </row>
    <row r="183" spans="1:34" hidden="1">
      <c r="A183" t="s">
        <v>114</v>
      </c>
      <c r="B183" s="18">
        <v>69</v>
      </c>
      <c r="C183" s="1">
        <v>45991</v>
      </c>
      <c r="D183" s="1">
        <v>45991</v>
      </c>
      <c r="E183" s="19" t="s">
        <v>91</v>
      </c>
      <c r="F183" s="19"/>
      <c r="G183" s="2" t="s">
        <v>85</v>
      </c>
      <c r="H183" s="3">
        <v>254.56</v>
      </c>
      <c r="I183" s="4">
        <v>294</v>
      </c>
      <c r="J183" s="4">
        <f t="shared" si="64"/>
        <v>74840.639999999999</v>
      </c>
      <c r="K183" s="4">
        <f t="shared" si="89"/>
        <v>308.7</v>
      </c>
      <c r="L183" s="1">
        <f>D183+18</f>
        <v>46009</v>
      </c>
      <c r="M183" s="21">
        <f t="shared" si="77"/>
        <v>78582.671999999991</v>
      </c>
      <c r="N183" s="22" t="s">
        <v>99</v>
      </c>
      <c r="O183" s="2"/>
      <c r="P183" s="7">
        <f t="shared" si="98"/>
        <v>10</v>
      </c>
      <c r="Q183" s="66">
        <f t="shared" si="105"/>
        <v>387.5309852054794</v>
      </c>
      <c r="R183" s="2"/>
      <c r="S183" s="2" t="s">
        <v>125</v>
      </c>
      <c r="T183" s="1">
        <v>46069</v>
      </c>
      <c r="U183" s="2"/>
      <c r="V183" s="2"/>
      <c r="W183" s="23">
        <v>46020</v>
      </c>
      <c r="Y183" s="18"/>
      <c r="Z183" s="1"/>
      <c r="AA183" s="1"/>
      <c r="AB183" s="2"/>
      <c r="AC183" s="3"/>
      <c r="AD183" s="4"/>
      <c r="AE183" s="4"/>
      <c r="AF183" s="24"/>
      <c r="AG183" s="2"/>
      <c r="AH183" s="23"/>
    </row>
    <row r="184" spans="1:34" hidden="1">
      <c r="A184" s="85" t="s">
        <v>114</v>
      </c>
      <c r="B184" s="18">
        <v>70</v>
      </c>
      <c r="C184" s="87"/>
      <c r="D184" s="87" t="s">
        <v>131</v>
      </c>
      <c r="E184" s="88" t="s">
        <v>132</v>
      </c>
      <c r="F184" s="88" t="s">
        <v>86</v>
      </c>
      <c r="G184" s="89" t="s">
        <v>133</v>
      </c>
      <c r="H184" s="90">
        <v>1101.45</v>
      </c>
      <c r="I184" s="91">
        <v>475</v>
      </c>
      <c r="J184" s="91">
        <f t="shared" si="64"/>
        <v>523188.75</v>
      </c>
      <c r="K184" s="91">
        <f t="shared" si="89"/>
        <v>498.75</v>
      </c>
      <c r="L184" s="87"/>
      <c r="M184" s="92">
        <f t="shared" si="77"/>
        <v>549348.1875</v>
      </c>
      <c r="N184" s="93" t="s">
        <v>99</v>
      </c>
      <c r="O184" s="89"/>
      <c r="P184" s="94"/>
      <c r="Q184" s="89"/>
      <c r="R184" s="89"/>
      <c r="S184" s="89">
        <v>220</v>
      </c>
      <c r="T184" s="89"/>
      <c r="U184" s="89"/>
      <c r="V184" s="89"/>
      <c r="W184" s="95">
        <v>46002</v>
      </c>
      <c r="Y184" s="18"/>
      <c r="Z184" s="1"/>
      <c r="AA184" s="1"/>
      <c r="AB184" s="2"/>
      <c r="AC184" s="3"/>
      <c r="AD184" s="4"/>
      <c r="AE184" s="4"/>
      <c r="AF184" s="24"/>
      <c r="AG184" s="2"/>
      <c r="AH184" s="23"/>
    </row>
    <row r="185" spans="1:34" hidden="1">
      <c r="A185" t="s">
        <v>114</v>
      </c>
      <c r="B185" s="18">
        <v>71</v>
      </c>
      <c r="C185" s="1">
        <v>45994</v>
      </c>
      <c r="D185" s="1">
        <v>45993</v>
      </c>
      <c r="E185" s="19" t="s">
        <v>91</v>
      </c>
      <c r="F185" s="19" t="s">
        <v>126</v>
      </c>
      <c r="G185" s="2" t="s">
        <v>85</v>
      </c>
      <c r="H185" s="3">
        <v>260</v>
      </c>
      <c r="I185" s="4">
        <v>317</v>
      </c>
      <c r="J185" s="4">
        <f t="shared" si="64"/>
        <v>82420</v>
      </c>
      <c r="K185" s="4">
        <f t="shared" si="89"/>
        <v>332.85</v>
      </c>
      <c r="L185" s="1">
        <f>D185+18</f>
        <v>46011</v>
      </c>
      <c r="M185" s="21">
        <f t="shared" si="77"/>
        <v>86541</v>
      </c>
      <c r="N185" s="22" t="s">
        <v>99</v>
      </c>
      <c r="O185" s="2"/>
      <c r="P185" s="7">
        <f>DAYS360(L185,W185)-(1)</f>
        <v>8</v>
      </c>
      <c r="Q185" s="66">
        <f t="shared" ref="Q185:Q187" si="106">0.18*P185*M185/365</f>
        <v>341.42202739726025</v>
      </c>
      <c r="R185" s="2"/>
      <c r="S185" s="2" t="s">
        <v>127</v>
      </c>
      <c r="T185" s="1">
        <v>46069</v>
      </c>
      <c r="U185" s="2"/>
      <c r="V185" s="2"/>
      <c r="W185" s="23">
        <v>46020</v>
      </c>
      <c r="Y185" s="18"/>
      <c r="Z185" s="1"/>
      <c r="AA185" s="1"/>
      <c r="AB185" s="2"/>
      <c r="AC185" s="3"/>
      <c r="AD185" s="4"/>
      <c r="AE185" s="4"/>
      <c r="AF185" s="24"/>
      <c r="AG185" s="2"/>
      <c r="AH185" s="23"/>
    </row>
    <row r="186" spans="1:34">
      <c r="A186" t="s">
        <v>114</v>
      </c>
      <c r="B186" s="18">
        <v>72</v>
      </c>
      <c r="C186" s="1">
        <v>45993</v>
      </c>
      <c r="D186" s="1">
        <v>45993</v>
      </c>
      <c r="E186" s="19" t="s">
        <v>26</v>
      </c>
      <c r="F186" s="19" t="s">
        <v>29</v>
      </c>
      <c r="G186" s="99" t="s">
        <v>167</v>
      </c>
      <c r="H186" s="3">
        <v>750</v>
      </c>
      <c r="I186" s="4">
        <v>264.76190000000003</v>
      </c>
      <c r="J186" s="4">
        <f t="shared" si="64"/>
        <v>198571.42500000002</v>
      </c>
      <c r="K186" s="4">
        <f t="shared" si="89"/>
        <v>277.99999500000001</v>
      </c>
      <c r="L186" s="1">
        <f t="shared" ref="L186:L229" si="107">D186+16</f>
        <v>46009</v>
      </c>
      <c r="M186" s="21">
        <f t="shared" si="77"/>
        <v>208499.99625</v>
      </c>
      <c r="N186" s="22" t="s">
        <v>99</v>
      </c>
      <c r="O186" s="2"/>
      <c r="P186" s="7">
        <f t="shared" ref="P186:P190" si="108">DAYS360(L186,W186)-(1)</f>
        <v>-17</v>
      </c>
      <c r="Q186" s="66">
        <f t="shared" si="106"/>
        <v>-1747.97257130137</v>
      </c>
      <c r="R186" s="2"/>
      <c r="S186" s="2">
        <v>22817</v>
      </c>
      <c r="T186" s="2"/>
      <c r="U186" s="2"/>
      <c r="V186" s="2"/>
      <c r="W186" s="23">
        <v>45993</v>
      </c>
      <c r="Y186" s="18"/>
      <c r="Z186" s="1"/>
      <c r="AA186" s="1"/>
      <c r="AB186" s="2"/>
      <c r="AC186" s="3"/>
      <c r="AD186" s="4"/>
      <c r="AE186" s="4"/>
      <c r="AF186" s="24"/>
      <c r="AG186" s="2"/>
      <c r="AH186" s="23"/>
    </row>
    <row r="187" spans="1:34">
      <c r="A187" t="s">
        <v>114</v>
      </c>
      <c r="B187" s="18">
        <v>73</v>
      </c>
      <c r="C187" s="1">
        <v>45993</v>
      </c>
      <c r="D187" s="1">
        <v>45993</v>
      </c>
      <c r="E187" s="19" t="s">
        <v>26</v>
      </c>
      <c r="F187" s="19" t="s">
        <v>29</v>
      </c>
      <c r="G187" s="99" t="s">
        <v>167</v>
      </c>
      <c r="H187" s="3">
        <v>248.01</v>
      </c>
      <c r="I187" s="4">
        <v>264.76190000000003</v>
      </c>
      <c r="J187" s="4">
        <f t="shared" si="64"/>
        <v>65663.598819000006</v>
      </c>
      <c r="K187" s="4">
        <f t="shared" si="89"/>
        <v>277.99999500000001</v>
      </c>
      <c r="L187" s="1">
        <f t="shared" si="107"/>
        <v>46009</v>
      </c>
      <c r="M187" s="21">
        <f t="shared" si="77"/>
        <v>68946.778759950001</v>
      </c>
      <c r="N187" s="22" t="s">
        <v>99</v>
      </c>
      <c r="O187" s="2"/>
      <c r="P187" s="7">
        <f t="shared" si="108"/>
        <v>-17</v>
      </c>
      <c r="Q187" s="66">
        <f t="shared" si="106"/>
        <v>-578.01956987793699</v>
      </c>
      <c r="R187" s="2"/>
      <c r="S187" s="2">
        <v>22818</v>
      </c>
      <c r="T187" s="2"/>
      <c r="U187" s="2"/>
      <c r="V187" s="2"/>
      <c r="W187" s="23">
        <v>45993</v>
      </c>
      <c r="Y187" s="18"/>
      <c r="Z187" s="1"/>
      <c r="AA187" s="1"/>
      <c r="AB187" s="2"/>
      <c r="AC187" s="3"/>
      <c r="AD187" s="4"/>
      <c r="AE187" s="4"/>
      <c r="AF187" s="24"/>
      <c r="AG187" s="2"/>
      <c r="AH187" s="23"/>
    </row>
    <row r="188" spans="1:34" hidden="1">
      <c r="A188" t="s">
        <v>114</v>
      </c>
      <c r="B188" s="18">
        <v>74</v>
      </c>
      <c r="C188" s="1">
        <v>45995</v>
      </c>
      <c r="D188" s="1">
        <v>45994</v>
      </c>
      <c r="E188" s="19" t="s">
        <v>91</v>
      </c>
      <c r="F188" s="19">
        <v>110</v>
      </c>
      <c r="G188" s="99" t="s">
        <v>166</v>
      </c>
      <c r="H188" s="3">
        <v>1152.8900000000001</v>
      </c>
      <c r="I188" s="4">
        <v>185.71430000000001</v>
      </c>
      <c r="J188" s="4">
        <f t="shared" si="64"/>
        <v>214108.15932700003</v>
      </c>
      <c r="K188" s="4">
        <f t="shared" si="89"/>
        <v>195.00001500000002</v>
      </c>
      <c r="L188" s="1">
        <f>D188+18</f>
        <v>46012</v>
      </c>
      <c r="M188" s="21">
        <f t="shared" si="77"/>
        <v>224813.56729335003</v>
      </c>
      <c r="N188" s="22" t="s">
        <v>99</v>
      </c>
      <c r="O188" s="2"/>
      <c r="P188" s="7">
        <f t="shared" si="108"/>
        <v>39</v>
      </c>
      <c r="Q188" s="66">
        <f t="shared" ref="Q188:Q190" si="109">0.18*P188*M188/365</f>
        <v>4323.8116230118276</v>
      </c>
      <c r="R188" s="2"/>
      <c r="S188" s="2" t="s">
        <v>128</v>
      </c>
      <c r="T188" s="1">
        <v>46069</v>
      </c>
      <c r="U188" s="2"/>
      <c r="V188" s="2"/>
      <c r="W188" s="23">
        <v>46053</v>
      </c>
      <c r="Y188" s="18"/>
      <c r="Z188" s="1"/>
      <c r="AA188" s="1"/>
      <c r="AB188" s="2"/>
      <c r="AC188" s="3"/>
      <c r="AD188" s="4"/>
      <c r="AE188" s="4"/>
      <c r="AF188" s="24"/>
      <c r="AG188" s="2"/>
      <c r="AH188" s="23"/>
    </row>
    <row r="189" spans="1:34" hidden="1">
      <c r="A189" t="s">
        <v>114</v>
      </c>
      <c r="B189" s="18">
        <v>75</v>
      </c>
      <c r="C189" s="1">
        <v>45997</v>
      </c>
      <c r="D189" s="1">
        <v>45997</v>
      </c>
      <c r="E189" s="19" t="s">
        <v>91</v>
      </c>
      <c r="F189" s="19" t="s">
        <v>129</v>
      </c>
      <c r="G189" s="19" t="s">
        <v>85</v>
      </c>
      <c r="H189" s="2">
        <v>252.32</v>
      </c>
      <c r="I189" s="4">
        <v>291</v>
      </c>
      <c r="J189" s="4">
        <f t="shared" si="64"/>
        <v>73425.119999999995</v>
      </c>
      <c r="K189" s="4">
        <f t="shared" si="89"/>
        <v>305.55</v>
      </c>
      <c r="L189" s="1">
        <f>D189+18</f>
        <v>46015</v>
      </c>
      <c r="M189" s="21">
        <f t="shared" si="77"/>
        <v>77096.376000000004</v>
      </c>
      <c r="N189" s="22" t="s">
        <v>99</v>
      </c>
      <c r="O189" s="2"/>
      <c r="P189" s="7">
        <f t="shared" si="108"/>
        <v>36</v>
      </c>
      <c r="Q189" s="66">
        <f t="shared" si="109"/>
        <v>1368.7247026849316</v>
      </c>
      <c r="R189" s="2"/>
      <c r="S189" s="2" t="s">
        <v>130</v>
      </c>
      <c r="T189" s="1">
        <v>46069</v>
      </c>
      <c r="U189" s="2"/>
      <c r="V189" s="2"/>
      <c r="W189" s="23">
        <v>46053</v>
      </c>
      <c r="Y189" s="18"/>
      <c r="Z189" s="1"/>
      <c r="AA189" s="1"/>
      <c r="AB189" s="2"/>
      <c r="AC189" s="3"/>
      <c r="AD189" s="4"/>
      <c r="AE189" s="4"/>
      <c r="AF189" s="24"/>
      <c r="AG189" s="2"/>
      <c r="AH189" s="23"/>
    </row>
    <row r="190" spans="1:34" hidden="1">
      <c r="A190" t="s">
        <v>114</v>
      </c>
      <c r="B190" s="18">
        <v>76</v>
      </c>
      <c r="C190" s="1">
        <v>45998</v>
      </c>
      <c r="D190" s="1">
        <v>45997</v>
      </c>
      <c r="E190" s="19" t="s">
        <v>19</v>
      </c>
      <c r="F190" s="19">
        <v>5148</v>
      </c>
      <c r="G190" s="2" t="s">
        <v>20</v>
      </c>
      <c r="H190" s="3">
        <v>1160.07</v>
      </c>
      <c r="I190" s="4">
        <v>146.19999999999999</v>
      </c>
      <c r="J190" s="4">
        <f t="shared" si="64"/>
        <v>169602.23399999997</v>
      </c>
      <c r="K190" s="4">
        <f t="shared" si="89"/>
        <v>153.51</v>
      </c>
      <c r="L190" s="1">
        <f t="shared" ref="L190" si="110">D190+18</f>
        <v>46015</v>
      </c>
      <c r="M190" s="21">
        <f t="shared" si="77"/>
        <v>178082.34569999998</v>
      </c>
      <c r="N190" s="22" t="s">
        <v>98</v>
      </c>
      <c r="O190" s="2"/>
      <c r="P190" s="7">
        <f t="shared" si="108"/>
        <v>54</v>
      </c>
      <c r="Q190" s="66">
        <f t="shared" si="109"/>
        <v>4742.3572608328759</v>
      </c>
      <c r="R190" s="2"/>
      <c r="S190" s="2">
        <v>25553</v>
      </c>
      <c r="T190" s="2"/>
      <c r="U190" s="2" t="s">
        <v>107</v>
      </c>
      <c r="V190" s="1">
        <v>46127</v>
      </c>
      <c r="W190" s="23">
        <v>46072</v>
      </c>
      <c r="Y190" s="18"/>
      <c r="Z190" s="1"/>
      <c r="AA190" s="1"/>
      <c r="AB190" s="2"/>
      <c r="AC190" s="3"/>
      <c r="AD190" s="4"/>
      <c r="AE190" s="4"/>
      <c r="AF190" s="24"/>
      <c r="AG190" s="2"/>
      <c r="AH190" s="23"/>
    </row>
    <row r="191" spans="1:34" hidden="1">
      <c r="A191" t="s">
        <v>114</v>
      </c>
      <c r="B191" s="18">
        <v>77</v>
      </c>
      <c r="C191" s="1">
        <v>46003</v>
      </c>
      <c r="D191" s="1">
        <v>46002</v>
      </c>
      <c r="E191" s="19" t="s">
        <v>91</v>
      </c>
      <c r="F191" s="19" t="s">
        <v>126</v>
      </c>
      <c r="G191" s="2" t="s">
        <v>85</v>
      </c>
      <c r="H191" s="3">
        <v>260</v>
      </c>
      <c r="I191" s="4">
        <v>317</v>
      </c>
      <c r="J191" s="4">
        <f t="shared" si="64"/>
        <v>82420</v>
      </c>
      <c r="K191" s="4">
        <f t="shared" si="89"/>
        <v>332.85</v>
      </c>
      <c r="L191" s="1">
        <f>D191+18</f>
        <v>46020</v>
      </c>
      <c r="M191" s="21">
        <f t="shared" si="77"/>
        <v>86541</v>
      </c>
      <c r="N191" s="22" t="s">
        <v>99</v>
      </c>
      <c r="O191" s="2"/>
      <c r="P191" s="7">
        <f>DAYS360(L191,W191)-(1)</f>
        <v>31</v>
      </c>
      <c r="Q191" s="66">
        <f t="shared" ref="Q191:Q192" si="111">0.18*P191*M191/365</f>
        <v>1323.0103561643837</v>
      </c>
      <c r="R191" s="2"/>
      <c r="S191" s="2" t="s">
        <v>141</v>
      </c>
      <c r="T191" s="1">
        <v>46069</v>
      </c>
      <c r="U191" s="2"/>
      <c r="V191" s="2"/>
      <c r="W191" s="23">
        <v>46053</v>
      </c>
      <c r="Y191" s="18"/>
      <c r="Z191" s="1"/>
      <c r="AA191" s="1"/>
      <c r="AB191" s="2"/>
      <c r="AC191" s="3"/>
      <c r="AD191" s="4"/>
      <c r="AE191" s="4"/>
      <c r="AF191" s="24"/>
      <c r="AG191" s="2"/>
      <c r="AH191" s="23"/>
    </row>
    <row r="192" spans="1:34" hidden="1">
      <c r="A192" t="s">
        <v>114</v>
      </c>
      <c r="B192" s="18">
        <v>78</v>
      </c>
      <c r="C192" s="1">
        <v>46004</v>
      </c>
      <c r="D192" s="1">
        <v>46003</v>
      </c>
      <c r="E192" s="19" t="s">
        <v>19</v>
      </c>
      <c r="F192" s="19">
        <v>5148</v>
      </c>
      <c r="G192" s="2" t="s">
        <v>20</v>
      </c>
      <c r="H192" s="3">
        <v>771.06</v>
      </c>
      <c r="I192" s="4">
        <v>146.19999999999999</v>
      </c>
      <c r="J192" s="4">
        <f t="shared" si="64"/>
        <v>112728.97199999998</v>
      </c>
      <c r="K192" s="4">
        <f t="shared" si="89"/>
        <v>153.51</v>
      </c>
      <c r="L192" s="1">
        <f t="shared" ref="L192" si="112">D192+18</f>
        <v>46021</v>
      </c>
      <c r="M192" s="21">
        <f t="shared" si="77"/>
        <v>118365.42059999998</v>
      </c>
      <c r="N192" s="22" t="s">
        <v>98</v>
      </c>
      <c r="O192" s="2"/>
      <c r="P192" s="7">
        <f t="shared" ref="P192" si="113">DAYS360(L192,W192)-(1)</f>
        <v>48</v>
      </c>
      <c r="Q192" s="66">
        <f t="shared" si="111"/>
        <v>2801.8554355726023</v>
      </c>
      <c r="R192" s="2"/>
      <c r="S192" s="2">
        <v>26066</v>
      </c>
      <c r="T192" s="2"/>
      <c r="U192" s="2" t="s">
        <v>107</v>
      </c>
      <c r="V192" s="1">
        <v>46127</v>
      </c>
      <c r="W192" s="23">
        <v>46072</v>
      </c>
      <c r="Y192" s="18"/>
      <c r="Z192" s="1"/>
      <c r="AA192" s="1"/>
      <c r="AB192" s="2"/>
      <c r="AC192" s="3"/>
      <c r="AD192" s="4"/>
      <c r="AE192" s="4"/>
      <c r="AF192" s="24"/>
      <c r="AG192" s="2"/>
      <c r="AH192" s="23"/>
    </row>
    <row r="193" spans="1:34" hidden="1">
      <c r="A193" t="s">
        <v>114</v>
      </c>
      <c r="B193" s="18">
        <v>79</v>
      </c>
      <c r="C193" s="1">
        <v>46005</v>
      </c>
      <c r="D193" s="1">
        <v>46004</v>
      </c>
      <c r="E193" s="19" t="s">
        <v>91</v>
      </c>
      <c r="F193" s="19">
        <v>110</v>
      </c>
      <c r="G193" s="99" t="s">
        <v>166</v>
      </c>
      <c r="H193" s="3">
        <v>1161.6600000000001</v>
      </c>
      <c r="I193" s="4">
        <v>180.95240000000001</v>
      </c>
      <c r="J193" s="4">
        <f t="shared" si="64"/>
        <v>210205.16498400003</v>
      </c>
      <c r="K193" s="4">
        <f t="shared" si="89"/>
        <v>190.00002000000001</v>
      </c>
      <c r="L193" s="1">
        <f>D193+18</f>
        <v>46022</v>
      </c>
      <c r="M193" s="21">
        <f t="shared" si="77"/>
        <v>220715.42323320001</v>
      </c>
      <c r="N193" s="22" t="s">
        <v>99</v>
      </c>
      <c r="O193" s="2"/>
      <c r="P193" s="7">
        <f t="shared" ref="P193:P195" si="114">DAYS360(L193,W193)-(1)</f>
        <v>40</v>
      </c>
      <c r="Q193" s="66">
        <f t="shared" ref="Q193:Q195" si="115">0.18*P193*M193/365</f>
        <v>4353.8384856959992</v>
      </c>
      <c r="R193" s="2"/>
      <c r="S193" s="2" t="s">
        <v>142</v>
      </c>
      <c r="T193" s="1">
        <v>46069</v>
      </c>
      <c r="U193" s="2"/>
      <c r="V193" s="2"/>
      <c r="W193" s="23">
        <v>46064</v>
      </c>
      <c r="Y193" s="18"/>
      <c r="Z193" s="1"/>
      <c r="AA193" s="1"/>
      <c r="AB193" s="2"/>
      <c r="AC193" s="3"/>
      <c r="AD193" s="4"/>
      <c r="AE193" s="4"/>
      <c r="AF193" s="24"/>
      <c r="AG193" s="2"/>
      <c r="AH193" s="23"/>
    </row>
    <row r="194" spans="1:34" hidden="1">
      <c r="A194" t="s">
        <v>114</v>
      </c>
      <c r="B194" s="18">
        <v>80</v>
      </c>
      <c r="C194" s="1">
        <v>46008</v>
      </c>
      <c r="D194" s="1">
        <v>46008</v>
      </c>
      <c r="E194" s="19" t="s">
        <v>91</v>
      </c>
      <c r="F194" s="19" t="s">
        <v>121</v>
      </c>
      <c r="G194" s="2" t="s">
        <v>85</v>
      </c>
      <c r="H194" s="3">
        <v>252.12</v>
      </c>
      <c r="I194" s="4">
        <v>292</v>
      </c>
      <c r="J194" s="4">
        <f t="shared" si="64"/>
        <v>73619.040000000008</v>
      </c>
      <c r="K194" s="4">
        <f t="shared" si="89"/>
        <v>306.60000000000002</v>
      </c>
      <c r="L194" s="1">
        <f>D194+18</f>
        <v>46026</v>
      </c>
      <c r="M194" s="21">
        <f t="shared" si="77"/>
        <v>77299.992000000013</v>
      </c>
      <c r="N194" s="22" t="s">
        <v>99</v>
      </c>
      <c r="O194" s="2"/>
      <c r="P194" s="7">
        <f t="shared" si="114"/>
        <v>37</v>
      </c>
      <c r="Q194" s="66">
        <f t="shared" si="115"/>
        <v>1410.4601280000004</v>
      </c>
      <c r="R194" s="2"/>
      <c r="S194" s="2" t="s">
        <v>145</v>
      </c>
      <c r="T194" s="1">
        <v>46069</v>
      </c>
      <c r="U194" s="2"/>
      <c r="V194" s="2"/>
      <c r="W194" s="23">
        <v>46065</v>
      </c>
      <c r="Y194" s="18"/>
      <c r="Z194" s="1"/>
      <c r="AA194" s="1"/>
      <c r="AB194" s="2"/>
      <c r="AC194" s="3"/>
      <c r="AD194" s="4"/>
      <c r="AE194" s="4"/>
      <c r="AF194" s="24"/>
      <c r="AG194" s="2"/>
      <c r="AH194" s="23"/>
    </row>
    <row r="195" spans="1:34" hidden="1">
      <c r="A195" t="s">
        <v>114</v>
      </c>
      <c r="B195" s="18">
        <v>81</v>
      </c>
      <c r="C195" s="1">
        <v>46021</v>
      </c>
      <c r="D195" s="1">
        <v>46021</v>
      </c>
      <c r="E195" s="19" t="s">
        <v>91</v>
      </c>
      <c r="F195" s="19" t="s">
        <v>121</v>
      </c>
      <c r="G195" s="2" t="s">
        <v>85</v>
      </c>
      <c r="H195" s="3">
        <v>506.12</v>
      </c>
      <c r="I195" s="4">
        <v>292</v>
      </c>
      <c r="J195" s="4">
        <f t="shared" si="64"/>
        <v>147787.04</v>
      </c>
      <c r="K195" s="4">
        <f t="shared" si="89"/>
        <v>306.60000000000002</v>
      </c>
      <c r="L195" s="1">
        <f>D195+18</f>
        <v>46039</v>
      </c>
      <c r="M195" s="21">
        <f t="shared" si="77"/>
        <v>155176.39200000002</v>
      </c>
      <c r="N195" s="22" t="s">
        <v>99</v>
      </c>
      <c r="O195" s="2"/>
      <c r="P195" s="7">
        <f t="shared" si="114"/>
        <v>24</v>
      </c>
      <c r="Q195" s="66">
        <f t="shared" si="115"/>
        <v>1836.6082560000004</v>
      </c>
      <c r="R195" s="2"/>
      <c r="S195" s="2" t="s">
        <v>152</v>
      </c>
      <c r="T195" s="1">
        <v>46069</v>
      </c>
      <c r="U195" s="2"/>
      <c r="V195" s="2"/>
      <c r="W195" s="23">
        <v>46065</v>
      </c>
      <c r="Y195" s="18"/>
      <c r="Z195" s="1"/>
      <c r="AA195" s="1"/>
      <c r="AB195" s="2"/>
      <c r="AC195" s="3"/>
      <c r="AD195" s="4"/>
      <c r="AE195" s="4"/>
      <c r="AF195" s="24"/>
      <c r="AG195" s="2"/>
      <c r="AH195" s="23"/>
    </row>
    <row r="196" spans="1:34" hidden="1">
      <c r="A196" t="s">
        <v>114</v>
      </c>
      <c r="B196" s="18">
        <v>82</v>
      </c>
      <c r="C196" s="1">
        <v>46022</v>
      </c>
      <c r="D196" s="1">
        <v>46022</v>
      </c>
      <c r="E196" s="19" t="s">
        <v>132</v>
      </c>
      <c r="F196" s="19" t="s">
        <v>86</v>
      </c>
      <c r="G196" s="2" t="s">
        <v>133</v>
      </c>
      <c r="H196" s="3">
        <v>117.19</v>
      </c>
      <c r="I196" s="4">
        <v>465</v>
      </c>
      <c r="J196" s="4">
        <f t="shared" si="64"/>
        <v>54493.35</v>
      </c>
      <c r="K196" s="4">
        <f t="shared" si="89"/>
        <v>488.25</v>
      </c>
      <c r="L196" s="1">
        <f t="shared" si="107"/>
        <v>46038</v>
      </c>
      <c r="M196" s="21">
        <f t="shared" si="77"/>
        <v>57218.017500000002</v>
      </c>
      <c r="N196" s="22" t="s">
        <v>97</v>
      </c>
      <c r="O196" s="2"/>
      <c r="P196" s="7">
        <f t="shared" ref="P196:P229" ca="1" si="116">DAYS360(L196,TODAY())-(1)</f>
        <v>150</v>
      </c>
      <c r="Q196" s="2"/>
      <c r="R196" s="2"/>
      <c r="S196" s="2">
        <v>234</v>
      </c>
      <c r="T196" s="2"/>
      <c r="U196" s="2"/>
      <c r="V196" s="2"/>
      <c r="W196" s="23"/>
      <c r="Y196" s="18"/>
      <c r="Z196" s="1"/>
      <c r="AA196" s="1"/>
      <c r="AB196" s="2"/>
      <c r="AC196" s="3"/>
      <c r="AD196" s="4"/>
      <c r="AE196" s="4"/>
      <c r="AF196" s="24"/>
      <c r="AG196" s="2"/>
      <c r="AH196" s="23"/>
    </row>
    <row r="197" spans="1:34" hidden="1">
      <c r="A197" t="s">
        <v>114</v>
      </c>
      <c r="B197" s="18">
        <v>83</v>
      </c>
      <c r="C197" s="1">
        <v>46026</v>
      </c>
      <c r="D197" s="1">
        <v>46025</v>
      </c>
      <c r="E197" s="19" t="s">
        <v>91</v>
      </c>
      <c r="F197" s="19">
        <v>110</v>
      </c>
      <c r="G197" s="99" t="s">
        <v>166</v>
      </c>
      <c r="H197" s="3">
        <v>1159.6600000000001</v>
      </c>
      <c r="I197" s="4">
        <v>180</v>
      </c>
      <c r="J197" s="4">
        <f t="shared" si="64"/>
        <v>208738.80000000002</v>
      </c>
      <c r="K197" s="4">
        <f t="shared" si="89"/>
        <v>189</v>
      </c>
      <c r="L197" s="1">
        <f>D197+18</f>
        <v>46043</v>
      </c>
      <c r="M197" s="21">
        <f t="shared" si="77"/>
        <v>219175.74000000002</v>
      </c>
      <c r="N197" s="22" t="s">
        <v>99</v>
      </c>
      <c r="O197" s="2"/>
      <c r="P197" s="7">
        <f t="shared" ref="P197:P201" si="117">DAYS360(L197,W197)-(1)</f>
        <v>20</v>
      </c>
      <c r="Q197" s="66">
        <f t="shared" ref="Q197:Q201" si="118">0.18*P197*M197/365</f>
        <v>2161.7333260273972</v>
      </c>
      <c r="R197" s="2"/>
      <c r="S197" s="2" t="s">
        <v>153</v>
      </c>
      <c r="T197" s="1">
        <v>46069</v>
      </c>
      <c r="U197" s="2"/>
      <c r="V197" s="2"/>
      <c r="W197" s="23">
        <v>46065</v>
      </c>
      <c r="Y197" s="18"/>
      <c r="Z197" s="1"/>
      <c r="AA197" s="1"/>
      <c r="AB197" s="2"/>
      <c r="AC197" s="3"/>
      <c r="AD197" s="4"/>
      <c r="AE197" s="4"/>
      <c r="AF197" s="24"/>
      <c r="AG197" s="2"/>
      <c r="AH197" s="23"/>
    </row>
    <row r="198" spans="1:34" hidden="1">
      <c r="A198" t="s">
        <v>114</v>
      </c>
      <c r="B198" s="18">
        <v>84</v>
      </c>
      <c r="C198" s="1">
        <v>46026</v>
      </c>
      <c r="D198" s="1">
        <v>46025</v>
      </c>
      <c r="E198" s="19" t="s">
        <v>91</v>
      </c>
      <c r="F198" s="19">
        <v>110</v>
      </c>
      <c r="G198" s="99" t="s">
        <v>166</v>
      </c>
      <c r="H198" s="3">
        <v>773.1</v>
      </c>
      <c r="I198" s="4">
        <v>180</v>
      </c>
      <c r="J198" s="4">
        <f t="shared" si="64"/>
        <v>139158</v>
      </c>
      <c r="K198" s="4">
        <f t="shared" si="89"/>
        <v>189</v>
      </c>
      <c r="L198" s="1">
        <f>D198+18</f>
        <v>46043</v>
      </c>
      <c r="M198" s="21">
        <f t="shared" si="77"/>
        <v>146115.9</v>
      </c>
      <c r="N198" s="22" t="s">
        <v>99</v>
      </c>
      <c r="O198" s="2"/>
      <c r="P198" s="7">
        <f t="shared" si="117"/>
        <v>22</v>
      </c>
      <c r="Q198" s="66">
        <f t="shared" si="118"/>
        <v>1585.2574356164382</v>
      </c>
      <c r="R198" s="2"/>
      <c r="S198" s="2" t="s">
        <v>154</v>
      </c>
      <c r="T198" s="1">
        <v>46069</v>
      </c>
      <c r="U198" s="2"/>
      <c r="V198" s="2"/>
      <c r="W198" s="23">
        <v>46067</v>
      </c>
      <c r="Y198" s="18"/>
      <c r="Z198" s="1"/>
      <c r="AA198" s="1"/>
      <c r="AB198" s="2"/>
      <c r="AC198" s="3"/>
      <c r="AD198" s="4"/>
      <c r="AE198" s="4"/>
      <c r="AF198" s="24"/>
      <c r="AG198" s="2"/>
      <c r="AH198" s="23"/>
    </row>
    <row r="199" spans="1:34" hidden="1">
      <c r="A199" t="s">
        <v>114</v>
      </c>
      <c r="B199" s="18">
        <v>85</v>
      </c>
      <c r="C199" s="1">
        <v>46026</v>
      </c>
      <c r="D199" s="1">
        <v>46025</v>
      </c>
      <c r="E199" s="19" t="s">
        <v>91</v>
      </c>
      <c r="F199" s="19">
        <v>110</v>
      </c>
      <c r="G199" s="99" t="s">
        <v>166</v>
      </c>
      <c r="H199" s="3">
        <v>772.86</v>
      </c>
      <c r="I199" s="4">
        <v>180</v>
      </c>
      <c r="J199" s="4">
        <f t="shared" si="64"/>
        <v>139114.79999999999</v>
      </c>
      <c r="K199" s="4">
        <f t="shared" si="89"/>
        <v>189</v>
      </c>
      <c r="L199" s="1">
        <f>D199+18</f>
        <v>46043</v>
      </c>
      <c r="M199" s="21">
        <f t="shared" si="77"/>
        <v>146070.54</v>
      </c>
      <c r="N199" s="22" t="s">
        <v>99</v>
      </c>
      <c r="O199" s="2"/>
      <c r="P199" s="7">
        <f t="shared" si="117"/>
        <v>22</v>
      </c>
      <c r="Q199" s="66">
        <f t="shared" si="118"/>
        <v>1584.7653106849316</v>
      </c>
      <c r="R199" s="2"/>
      <c r="S199" s="2" t="s">
        <v>155</v>
      </c>
      <c r="T199" s="1">
        <v>46069</v>
      </c>
      <c r="U199" s="2"/>
      <c r="V199" s="2"/>
      <c r="W199" s="23">
        <v>46067</v>
      </c>
      <c r="Y199" s="18"/>
      <c r="Z199" s="1"/>
      <c r="AA199" s="1"/>
      <c r="AB199" s="2"/>
      <c r="AC199" s="3"/>
      <c r="AD199" s="4"/>
      <c r="AE199" s="4"/>
      <c r="AF199" s="24"/>
      <c r="AG199" s="2"/>
      <c r="AH199" s="23"/>
    </row>
    <row r="200" spans="1:34">
      <c r="A200" t="s">
        <v>114</v>
      </c>
      <c r="B200" s="18">
        <v>86</v>
      </c>
      <c r="C200" s="1">
        <v>46027</v>
      </c>
      <c r="D200" s="1">
        <v>46027</v>
      </c>
      <c r="E200" s="19" t="s">
        <v>26</v>
      </c>
      <c r="F200" s="19" t="s">
        <v>29</v>
      </c>
      <c r="G200" s="99" t="s">
        <v>167</v>
      </c>
      <c r="H200" s="3">
        <v>1010.5</v>
      </c>
      <c r="I200" s="4">
        <v>264.76190000000003</v>
      </c>
      <c r="J200" s="4">
        <f t="shared" si="64"/>
        <v>267541.89995000005</v>
      </c>
      <c r="K200" s="4">
        <f t="shared" si="89"/>
        <v>277.99999500000001</v>
      </c>
      <c r="L200" s="1">
        <f t="shared" si="107"/>
        <v>46043</v>
      </c>
      <c r="M200" s="21">
        <f t="shared" si="77"/>
        <v>280918.9949475</v>
      </c>
      <c r="N200" s="22" t="s">
        <v>99</v>
      </c>
      <c r="O200" s="2"/>
      <c r="P200" s="7">
        <f t="shared" si="117"/>
        <v>27</v>
      </c>
      <c r="Q200" s="66">
        <f t="shared" si="118"/>
        <v>3740.4556587530133</v>
      </c>
      <c r="R200" s="2"/>
      <c r="S200" s="2">
        <v>25905</v>
      </c>
      <c r="T200" s="2"/>
      <c r="U200" s="2"/>
      <c r="V200" s="2"/>
      <c r="W200" s="23">
        <v>46072</v>
      </c>
      <c r="Y200" s="18"/>
      <c r="Z200" s="1"/>
      <c r="AA200" s="1"/>
      <c r="AB200" s="2"/>
      <c r="AC200" s="3"/>
      <c r="AD200" s="4"/>
      <c r="AE200" s="4"/>
      <c r="AF200" s="24"/>
      <c r="AG200" s="2"/>
      <c r="AH200" s="23"/>
    </row>
    <row r="201" spans="1:34">
      <c r="A201" t="s">
        <v>114</v>
      </c>
      <c r="B201" s="18">
        <v>87</v>
      </c>
      <c r="C201" s="1">
        <v>46029</v>
      </c>
      <c r="D201" s="1">
        <v>46029</v>
      </c>
      <c r="E201" s="19" t="s">
        <v>26</v>
      </c>
      <c r="F201" s="19"/>
      <c r="G201" s="2" t="s">
        <v>43</v>
      </c>
      <c r="H201" s="3">
        <v>307.60000000000002</v>
      </c>
      <c r="I201" s="4">
        <v>122</v>
      </c>
      <c r="J201" s="4">
        <f t="shared" si="64"/>
        <v>37527.200000000004</v>
      </c>
      <c r="K201" s="4">
        <f t="shared" si="89"/>
        <v>128.1</v>
      </c>
      <c r="L201" s="1">
        <f t="shared" si="107"/>
        <v>46045</v>
      </c>
      <c r="M201" s="21">
        <f t="shared" si="77"/>
        <v>39403.56</v>
      </c>
      <c r="N201" s="22" t="s">
        <v>99</v>
      </c>
      <c r="O201" s="2"/>
      <c r="P201" s="7">
        <f t="shared" si="117"/>
        <v>42</v>
      </c>
      <c r="Q201" s="66">
        <f t="shared" si="118"/>
        <v>816.13948931506843</v>
      </c>
      <c r="R201" s="2"/>
      <c r="S201" s="2">
        <v>26089</v>
      </c>
      <c r="T201" s="2"/>
      <c r="U201" s="2"/>
      <c r="V201" s="2"/>
      <c r="W201" s="23">
        <v>46087</v>
      </c>
      <c r="Y201" s="18"/>
      <c r="Z201" s="1"/>
      <c r="AA201" s="1"/>
      <c r="AB201" s="2"/>
      <c r="AC201" s="3"/>
      <c r="AD201" s="4"/>
      <c r="AE201" s="4"/>
      <c r="AF201" s="24"/>
      <c r="AG201" s="2"/>
      <c r="AH201" s="23"/>
    </row>
    <row r="202" spans="1:34" hidden="1">
      <c r="A202" t="s">
        <v>114</v>
      </c>
      <c r="B202" s="18">
        <v>88</v>
      </c>
      <c r="C202" s="1">
        <v>46029</v>
      </c>
      <c r="D202" s="1">
        <v>46035</v>
      </c>
      <c r="E202" s="19" t="s">
        <v>91</v>
      </c>
      <c r="F202" s="19"/>
      <c r="G202" s="2" t="s">
        <v>139</v>
      </c>
      <c r="H202" s="3">
        <v>189.68</v>
      </c>
      <c r="I202" s="4">
        <v>190</v>
      </c>
      <c r="J202" s="4">
        <f t="shared" si="64"/>
        <v>36039.200000000004</v>
      </c>
      <c r="K202" s="4">
        <f t="shared" si="89"/>
        <v>199.5</v>
      </c>
      <c r="L202" s="1">
        <f>D202+18</f>
        <v>46053</v>
      </c>
      <c r="M202" s="21">
        <f t="shared" si="77"/>
        <v>37841.160000000003</v>
      </c>
      <c r="N202" s="22" t="s">
        <v>99</v>
      </c>
      <c r="O202" s="2"/>
      <c r="P202" s="7">
        <f>DAYS360(L202,W202)-(1)</f>
        <v>27</v>
      </c>
      <c r="Q202" s="66">
        <f t="shared" ref="Q202:Q207" si="119">0.18*P202*M202/365</f>
        <v>503.85763726027392</v>
      </c>
      <c r="R202" s="2"/>
      <c r="S202" s="2" t="s">
        <v>157</v>
      </c>
      <c r="T202" s="1">
        <v>46126</v>
      </c>
      <c r="U202" s="2"/>
      <c r="V202" s="2"/>
      <c r="W202" s="23">
        <v>46081</v>
      </c>
      <c r="Y202" s="18"/>
      <c r="Z202" s="1"/>
      <c r="AA202" s="1"/>
      <c r="AB202" s="2"/>
      <c r="AC202" s="3"/>
      <c r="AD202" s="4"/>
      <c r="AE202" s="4"/>
      <c r="AF202" s="24"/>
      <c r="AG202" s="2"/>
      <c r="AH202" s="23"/>
    </row>
    <row r="203" spans="1:34" hidden="1">
      <c r="A203" t="s">
        <v>114</v>
      </c>
      <c r="B203" s="18">
        <v>89</v>
      </c>
      <c r="C203" s="1">
        <v>46029</v>
      </c>
      <c r="D203" s="1">
        <v>46035</v>
      </c>
      <c r="E203" s="19" t="s">
        <v>91</v>
      </c>
      <c r="F203" s="19"/>
      <c r="G203" s="2" t="s">
        <v>85</v>
      </c>
      <c r="H203" s="3">
        <v>795.6</v>
      </c>
      <c r="I203" s="4">
        <v>294.28570000000002</v>
      </c>
      <c r="J203" s="4">
        <f t="shared" si="64"/>
        <v>234133.70292000001</v>
      </c>
      <c r="K203" s="4">
        <f t="shared" si="89"/>
        <v>308.99998500000004</v>
      </c>
      <c r="L203" s="1">
        <f>D203+18</f>
        <v>46053</v>
      </c>
      <c r="M203" s="21">
        <f t="shared" si="77"/>
        <v>245840.38806600004</v>
      </c>
      <c r="N203" s="22" t="s">
        <v>99</v>
      </c>
      <c r="O203" s="2"/>
      <c r="P203" s="7">
        <f t="shared" ref="P203:P207" si="120">DAYS360(L203,W203)-(1)</f>
        <v>27</v>
      </c>
      <c r="Q203" s="66">
        <f t="shared" si="119"/>
        <v>3273.3816054815343</v>
      </c>
      <c r="R203" s="2"/>
      <c r="S203" s="2" t="s">
        <v>158</v>
      </c>
      <c r="T203" s="1">
        <v>46126</v>
      </c>
      <c r="U203" s="2"/>
      <c r="V203" s="2"/>
      <c r="W203" s="23">
        <v>46081</v>
      </c>
      <c r="Y203" s="18"/>
      <c r="Z203" s="1"/>
      <c r="AA203" s="1"/>
      <c r="AB203" s="2"/>
      <c r="AC203" s="3"/>
      <c r="AD203" s="4"/>
      <c r="AE203" s="4"/>
      <c r="AF203" s="24"/>
      <c r="AG203" s="2"/>
      <c r="AH203" s="23"/>
    </row>
    <row r="204" spans="1:34" hidden="1">
      <c r="A204" t="s">
        <v>114</v>
      </c>
      <c r="B204" s="18">
        <v>90</v>
      </c>
      <c r="C204" s="1">
        <v>46037</v>
      </c>
      <c r="D204" s="1">
        <v>46038</v>
      </c>
      <c r="E204" s="19" t="s">
        <v>91</v>
      </c>
      <c r="F204" s="19"/>
      <c r="G204" s="2" t="s">
        <v>85</v>
      </c>
      <c r="H204" s="3">
        <v>480</v>
      </c>
      <c r="I204" s="4">
        <v>294</v>
      </c>
      <c r="J204" s="4">
        <f t="shared" si="64"/>
        <v>141120</v>
      </c>
      <c r="K204" s="4">
        <f t="shared" si="89"/>
        <v>308.7</v>
      </c>
      <c r="L204" s="1">
        <f>D204+18</f>
        <v>46056</v>
      </c>
      <c r="M204" s="21">
        <f t="shared" si="77"/>
        <v>148176</v>
      </c>
      <c r="N204" s="22" t="s">
        <v>99</v>
      </c>
      <c r="O204" s="2"/>
      <c r="P204" s="7">
        <f t="shared" si="120"/>
        <v>24</v>
      </c>
      <c r="Q204" s="66">
        <f t="shared" si="119"/>
        <v>1753.7543013698632</v>
      </c>
      <c r="R204" s="2"/>
      <c r="S204" s="2" t="s">
        <v>159</v>
      </c>
      <c r="T204" s="1">
        <v>46126</v>
      </c>
      <c r="U204" s="2"/>
      <c r="V204" s="2"/>
      <c r="W204" s="23">
        <v>46081</v>
      </c>
      <c r="Y204" s="18"/>
      <c r="Z204" s="1"/>
      <c r="AA204" s="1"/>
      <c r="AB204" s="2"/>
      <c r="AC204" s="3"/>
      <c r="AD204" s="4"/>
      <c r="AE204" s="4"/>
      <c r="AF204" s="24"/>
      <c r="AG204" s="2"/>
      <c r="AH204" s="23"/>
    </row>
    <row r="205" spans="1:34">
      <c r="A205" t="s">
        <v>114</v>
      </c>
      <c r="B205" s="18">
        <v>91</v>
      </c>
      <c r="C205" s="1">
        <v>46038</v>
      </c>
      <c r="D205" s="1">
        <v>46038</v>
      </c>
      <c r="E205" s="19" t="s">
        <v>26</v>
      </c>
      <c r="F205" s="19"/>
      <c r="G205" s="2" t="s">
        <v>35</v>
      </c>
      <c r="H205" s="3">
        <v>300</v>
      </c>
      <c r="I205" s="4">
        <v>302</v>
      </c>
      <c r="J205" s="4">
        <f t="shared" si="64"/>
        <v>90600</v>
      </c>
      <c r="K205" s="4">
        <f t="shared" si="89"/>
        <v>317.10000000000002</v>
      </c>
      <c r="L205" s="1">
        <f t="shared" si="107"/>
        <v>46054</v>
      </c>
      <c r="M205" s="21">
        <f t="shared" si="77"/>
        <v>95130</v>
      </c>
      <c r="N205" s="22" t="s">
        <v>99</v>
      </c>
      <c r="O205" s="2"/>
      <c r="P205" s="7">
        <f t="shared" si="120"/>
        <v>34</v>
      </c>
      <c r="Q205" s="66">
        <f t="shared" si="119"/>
        <v>1595.0564383561643</v>
      </c>
      <c r="R205" s="2"/>
      <c r="S205" s="2">
        <v>26998</v>
      </c>
      <c r="T205" s="2"/>
      <c r="U205" s="2"/>
      <c r="V205" s="2"/>
      <c r="W205" s="23">
        <v>46087</v>
      </c>
      <c r="Y205" s="18"/>
      <c r="Z205" s="1"/>
      <c r="AA205" s="1"/>
      <c r="AB205" s="2"/>
      <c r="AC205" s="3"/>
      <c r="AD205" s="4"/>
      <c r="AE205" s="4"/>
      <c r="AF205" s="24"/>
      <c r="AG205" s="2"/>
      <c r="AH205" s="23"/>
    </row>
    <row r="206" spans="1:34">
      <c r="A206" t="s">
        <v>114</v>
      </c>
      <c r="B206" s="18">
        <v>92</v>
      </c>
      <c r="C206" s="1">
        <v>46033</v>
      </c>
      <c r="D206" s="1">
        <v>46039</v>
      </c>
      <c r="E206" s="19" t="s">
        <v>26</v>
      </c>
      <c r="F206" s="19"/>
      <c r="G206" s="99" t="s">
        <v>167</v>
      </c>
      <c r="H206" s="3">
        <v>189.4</v>
      </c>
      <c r="I206" s="4">
        <v>264.76190000000003</v>
      </c>
      <c r="J206" s="4">
        <f t="shared" si="64"/>
        <v>50145.903860000006</v>
      </c>
      <c r="K206" s="4">
        <f t="shared" si="89"/>
        <v>277.99999500000001</v>
      </c>
      <c r="L206" s="1">
        <f t="shared" si="107"/>
        <v>46055</v>
      </c>
      <c r="M206" s="21">
        <f t="shared" si="77"/>
        <v>52653.199053000004</v>
      </c>
      <c r="N206" s="22" t="s">
        <v>99</v>
      </c>
      <c r="O206" s="2"/>
      <c r="P206" s="7">
        <f t="shared" si="120"/>
        <v>33</v>
      </c>
      <c r="Q206" s="66">
        <f t="shared" si="119"/>
        <v>856.87671883512326</v>
      </c>
      <c r="R206" s="2"/>
      <c r="S206" s="2">
        <v>27136</v>
      </c>
      <c r="T206" s="2"/>
      <c r="U206" s="2"/>
      <c r="V206" s="2"/>
      <c r="W206" s="23">
        <v>46087</v>
      </c>
      <c r="Y206" s="18"/>
      <c r="Z206" s="1"/>
      <c r="AA206" s="1"/>
      <c r="AB206" s="2"/>
      <c r="AC206" s="3"/>
      <c r="AD206" s="4"/>
      <c r="AE206" s="4"/>
      <c r="AF206" s="24"/>
      <c r="AG206" s="2"/>
      <c r="AH206" s="23"/>
    </row>
    <row r="207" spans="1:34">
      <c r="A207" t="s">
        <v>114</v>
      </c>
      <c r="B207" s="18">
        <v>93</v>
      </c>
      <c r="C207" s="1">
        <v>46033</v>
      </c>
      <c r="D207" s="1">
        <v>46039</v>
      </c>
      <c r="E207" s="19" t="s">
        <v>26</v>
      </c>
      <c r="F207" s="19"/>
      <c r="G207" s="99" t="s">
        <v>167</v>
      </c>
      <c r="H207" s="3">
        <v>790.2</v>
      </c>
      <c r="I207" s="4">
        <v>264.76190000000003</v>
      </c>
      <c r="J207" s="4">
        <f t="shared" si="64"/>
        <v>209214.85338000004</v>
      </c>
      <c r="K207" s="4">
        <f t="shared" si="89"/>
        <v>277.99999500000001</v>
      </c>
      <c r="L207" s="1">
        <f t="shared" si="107"/>
        <v>46055</v>
      </c>
      <c r="M207" s="21">
        <f t="shared" si="77"/>
        <v>219675.59604900001</v>
      </c>
      <c r="N207" s="22" t="s">
        <v>99</v>
      </c>
      <c r="O207" s="2"/>
      <c r="P207" s="7">
        <f t="shared" si="120"/>
        <v>33</v>
      </c>
      <c r="Q207" s="66">
        <f t="shared" si="119"/>
        <v>3574.9946315919451</v>
      </c>
      <c r="R207" s="2"/>
      <c r="S207" s="2">
        <v>27137</v>
      </c>
      <c r="T207" s="2"/>
      <c r="U207" s="2"/>
      <c r="V207" s="2"/>
      <c r="W207" s="23">
        <v>46087</v>
      </c>
      <c r="Y207" s="18"/>
      <c r="Z207" s="1"/>
      <c r="AA207" s="1"/>
      <c r="AB207" s="2"/>
      <c r="AC207" s="3"/>
      <c r="AD207" s="4"/>
      <c r="AE207" s="4"/>
      <c r="AF207" s="24"/>
      <c r="AG207" s="2"/>
      <c r="AH207" s="23"/>
    </row>
    <row r="208" spans="1:34" hidden="1">
      <c r="A208" t="s">
        <v>114</v>
      </c>
      <c r="B208" s="18">
        <v>94</v>
      </c>
      <c r="C208" s="1">
        <v>46043</v>
      </c>
      <c r="D208" s="1">
        <v>46043</v>
      </c>
      <c r="E208" s="19" t="s">
        <v>91</v>
      </c>
      <c r="F208" s="19"/>
      <c r="G208" s="2" t="s">
        <v>85</v>
      </c>
      <c r="H208" s="3">
        <v>398.08</v>
      </c>
      <c r="I208" s="4">
        <v>294</v>
      </c>
      <c r="J208" s="4">
        <f t="shared" si="64"/>
        <v>117035.51999999999</v>
      </c>
      <c r="K208" s="4">
        <f t="shared" si="89"/>
        <v>308.7</v>
      </c>
      <c r="L208" s="1">
        <f>D208+18</f>
        <v>46061</v>
      </c>
      <c r="M208" s="21">
        <f t="shared" si="77"/>
        <v>122887.29599999999</v>
      </c>
      <c r="N208" s="22" t="s">
        <v>99</v>
      </c>
      <c r="O208" s="2"/>
      <c r="P208" s="7">
        <f t="shared" ref="P208:P219" si="121">DAYS360(L208,W208)-(1)</f>
        <v>19</v>
      </c>
      <c r="Q208" s="66">
        <f t="shared" ref="Q208:Q211" si="122">0.18*P208*M208/365</f>
        <v>1151.4371296438355</v>
      </c>
      <c r="R208" s="2"/>
      <c r="S208" s="2" t="s">
        <v>160</v>
      </c>
      <c r="T208" s="1">
        <v>46126</v>
      </c>
      <c r="U208" s="2"/>
      <c r="V208" s="2"/>
      <c r="W208" s="23">
        <v>46081</v>
      </c>
      <c r="Y208" s="18"/>
      <c r="Z208" s="1"/>
      <c r="AA208" s="1"/>
      <c r="AB208" s="2"/>
      <c r="AC208" s="3"/>
      <c r="AD208" s="4"/>
      <c r="AE208" s="4"/>
      <c r="AF208" s="24"/>
      <c r="AG208" s="2"/>
      <c r="AH208" s="23"/>
    </row>
    <row r="209" spans="1:34" hidden="1">
      <c r="A209" t="s">
        <v>114</v>
      </c>
      <c r="B209" s="18">
        <v>95</v>
      </c>
      <c r="C209" s="1">
        <v>46045</v>
      </c>
      <c r="D209" s="1">
        <v>46044</v>
      </c>
      <c r="E209" s="19" t="s">
        <v>91</v>
      </c>
      <c r="F209" s="19"/>
      <c r="G209" s="2" t="s">
        <v>85</v>
      </c>
      <c r="H209" s="3">
        <v>317.83999999999997</v>
      </c>
      <c r="I209" s="4">
        <v>294</v>
      </c>
      <c r="J209" s="4">
        <f t="shared" si="64"/>
        <v>93444.959999999992</v>
      </c>
      <c r="K209" s="4">
        <f t="shared" si="89"/>
        <v>308.7</v>
      </c>
      <c r="L209" s="1">
        <f>D209+18</f>
        <v>46062</v>
      </c>
      <c r="M209" s="21">
        <f t="shared" si="77"/>
        <v>98117.207999999984</v>
      </c>
      <c r="N209" s="22" t="s">
        <v>99</v>
      </c>
      <c r="O209" s="2"/>
      <c r="P209" s="7">
        <f t="shared" si="121"/>
        <v>18</v>
      </c>
      <c r="Q209" s="66">
        <f t="shared" si="122"/>
        <v>870.95822991780801</v>
      </c>
      <c r="R209" s="2"/>
      <c r="S209" s="2" t="s">
        <v>161</v>
      </c>
      <c r="T209" s="1">
        <v>46126</v>
      </c>
      <c r="U209" s="2"/>
      <c r="V209" s="2"/>
      <c r="W209" s="23">
        <v>46081</v>
      </c>
      <c r="Y209" s="18"/>
      <c r="Z209" s="1"/>
      <c r="AA209" s="1"/>
      <c r="AB209" s="2"/>
      <c r="AC209" s="3"/>
      <c r="AD209" s="4"/>
      <c r="AE209" s="4"/>
      <c r="AF209" s="24"/>
      <c r="AG209" s="2"/>
      <c r="AH209" s="23"/>
    </row>
    <row r="210" spans="1:34">
      <c r="A210" t="s">
        <v>114</v>
      </c>
      <c r="B210" s="18">
        <v>96</v>
      </c>
      <c r="C210" s="1">
        <v>46048</v>
      </c>
      <c r="D210" s="1">
        <v>46048</v>
      </c>
      <c r="E210" s="19" t="s">
        <v>26</v>
      </c>
      <c r="F210" s="19"/>
      <c r="G210" s="99" t="s">
        <v>167</v>
      </c>
      <c r="H210" s="3">
        <v>505.4</v>
      </c>
      <c r="I210" s="4">
        <v>285.70999999999998</v>
      </c>
      <c r="J210" s="4">
        <f t="shared" si="64"/>
        <v>144397.83399999997</v>
      </c>
      <c r="K210" s="4">
        <f t="shared" si="89"/>
        <v>299.99549999999999</v>
      </c>
      <c r="L210" s="1">
        <f t="shared" si="107"/>
        <v>46064</v>
      </c>
      <c r="M210" s="21">
        <f t="shared" si="77"/>
        <v>151617.72569999998</v>
      </c>
      <c r="N210" s="22" t="s">
        <v>99</v>
      </c>
      <c r="O210" s="2"/>
      <c r="P210" s="7">
        <f t="shared" si="121"/>
        <v>32</v>
      </c>
      <c r="Q210" s="66">
        <f t="shared" si="122"/>
        <v>2392.6523288547942</v>
      </c>
      <c r="R210" s="2"/>
      <c r="S210" s="2">
        <v>28149</v>
      </c>
      <c r="T210" s="2"/>
      <c r="U210" s="2"/>
      <c r="V210" s="2"/>
      <c r="W210" s="23">
        <v>46095</v>
      </c>
      <c r="Y210" s="18"/>
      <c r="Z210" s="1"/>
      <c r="AA210" s="1"/>
      <c r="AB210" s="2"/>
      <c r="AC210" s="3"/>
      <c r="AD210" s="4"/>
      <c r="AE210" s="4"/>
      <c r="AF210" s="24"/>
      <c r="AG210" s="2"/>
      <c r="AH210" s="23"/>
    </row>
    <row r="211" spans="1:34">
      <c r="A211" t="s">
        <v>114</v>
      </c>
      <c r="B211" s="18">
        <v>97</v>
      </c>
      <c r="C211" s="1">
        <v>46051</v>
      </c>
      <c r="D211" s="1">
        <v>46051</v>
      </c>
      <c r="E211" s="19" t="s">
        <v>26</v>
      </c>
      <c r="F211" s="19"/>
      <c r="G211" s="99" t="s">
        <v>167</v>
      </c>
      <c r="H211" s="3">
        <v>506.07</v>
      </c>
      <c r="I211" s="4">
        <v>285.70999999999998</v>
      </c>
      <c r="J211" s="4">
        <f t="shared" si="64"/>
        <v>144589.2597</v>
      </c>
      <c r="K211" s="4">
        <f t="shared" si="89"/>
        <v>299.99549999999999</v>
      </c>
      <c r="L211" s="1">
        <f t="shared" si="107"/>
        <v>46067</v>
      </c>
      <c r="M211" s="21">
        <f t="shared" si="77"/>
        <v>151818.72268499999</v>
      </c>
      <c r="N211" s="22" t="s">
        <v>99</v>
      </c>
      <c r="O211" s="2"/>
      <c r="P211" s="7">
        <f t="shared" si="121"/>
        <v>29</v>
      </c>
      <c r="Q211" s="66">
        <f t="shared" si="122"/>
        <v>2171.2157052484927</v>
      </c>
      <c r="R211" s="2"/>
      <c r="S211" s="2">
        <v>28465</v>
      </c>
      <c r="T211" s="2"/>
      <c r="U211" s="2"/>
      <c r="V211" s="2"/>
      <c r="W211" s="23">
        <v>46095</v>
      </c>
      <c r="Y211" s="18"/>
      <c r="Z211" s="1"/>
      <c r="AA211" s="1"/>
      <c r="AB211" s="2"/>
      <c r="AC211" s="3"/>
      <c r="AD211" s="4"/>
      <c r="AE211" s="4"/>
      <c r="AF211" s="24"/>
      <c r="AG211" s="2"/>
      <c r="AH211" s="23"/>
    </row>
    <row r="212" spans="1:34" hidden="1">
      <c r="A212" t="s">
        <v>114</v>
      </c>
      <c r="B212" s="18">
        <v>98</v>
      </c>
      <c r="C212" s="1">
        <v>46047</v>
      </c>
      <c r="D212" s="1">
        <v>46055</v>
      </c>
      <c r="E212" s="19" t="s">
        <v>146</v>
      </c>
      <c r="F212" s="19"/>
      <c r="G212" s="2" t="s">
        <v>139</v>
      </c>
      <c r="H212" s="3">
        <v>48</v>
      </c>
      <c r="I212" s="4">
        <v>192</v>
      </c>
      <c r="J212" s="4">
        <f t="shared" si="64"/>
        <v>9216</v>
      </c>
      <c r="K212" s="4">
        <f t="shared" si="89"/>
        <v>201.60000000000002</v>
      </c>
      <c r="L212" s="1">
        <f t="shared" si="107"/>
        <v>46071</v>
      </c>
      <c r="M212" s="21">
        <f t="shared" si="77"/>
        <v>9676.8000000000011</v>
      </c>
      <c r="N212" s="22" t="s">
        <v>97</v>
      </c>
      <c r="O212" s="2"/>
      <c r="P212" s="7">
        <f t="shared" ca="1" si="116"/>
        <v>118</v>
      </c>
      <c r="Q212" s="2"/>
      <c r="R212" s="2"/>
      <c r="S212" s="2">
        <v>4</v>
      </c>
      <c r="T212" s="2"/>
      <c r="U212" s="2"/>
      <c r="V212" s="2"/>
      <c r="W212" s="23">
        <v>46067</v>
      </c>
      <c r="Y212" s="18"/>
      <c r="Z212" s="1"/>
      <c r="AA212" s="1"/>
      <c r="AB212" s="2"/>
      <c r="AC212" s="3"/>
      <c r="AD212" s="4"/>
      <c r="AE212" s="4"/>
      <c r="AF212" s="24"/>
      <c r="AG212" s="2"/>
      <c r="AH212" s="23"/>
    </row>
    <row r="213" spans="1:34">
      <c r="A213" t="s">
        <v>114</v>
      </c>
      <c r="B213" s="18">
        <v>99</v>
      </c>
      <c r="C213" s="1">
        <v>46054</v>
      </c>
      <c r="D213" s="1">
        <v>46055</v>
      </c>
      <c r="E213" s="19" t="s">
        <v>26</v>
      </c>
      <c r="F213" s="19"/>
      <c r="G213" s="99" t="s">
        <v>167</v>
      </c>
      <c r="H213" s="3">
        <v>495.33</v>
      </c>
      <c r="I213" s="4">
        <v>285.70999999999998</v>
      </c>
      <c r="J213" s="4">
        <f t="shared" si="64"/>
        <v>141520.73429999998</v>
      </c>
      <c r="K213" s="4">
        <f t="shared" si="89"/>
        <v>299.99549999999999</v>
      </c>
      <c r="L213" s="1">
        <f t="shared" si="107"/>
        <v>46071</v>
      </c>
      <c r="M213" s="21">
        <f t="shared" si="77"/>
        <v>148596.77101500001</v>
      </c>
      <c r="N213" s="22" t="s">
        <v>99</v>
      </c>
      <c r="O213" s="2"/>
      <c r="P213" s="7">
        <f t="shared" si="121"/>
        <v>25</v>
      </c>
      <c r="Q213" s="66">
        <f t="shared" ref="Q213:Q219" si="123">0.18*P213*M213/365</f>
        <v>1832.0149851164385</v>
      </c>
      <c r="R213" s="2"/>
      <c r="S213" s="2">
        <v>28842</v>
      </c>
      <c r="T213" s="2"/>
      <c r="U213" s="2"/>
      <c r="V213" s="2"/>
      <c r="W213" s="23">
        <v>46095</v>
      </c>
      <c r="Y213" s="18"/>
      <c r="Z213" s="1"/>
      <c r="AA213" s="1"/>
      <c r="AB213" s="2"/>
      <c r="AC213" s="3"/>
      <c r="AD213" s="4"/>
      <c r="AE213" s="4"/>
      <c r="AF213" s="24"/>
      <c r="AG213" s="2"/>
      <c r="AH213" s="23"/>
    </row>
    <row r="214" spans="1:34">
      <c r="A214" t="s">
        <v>114</v>
      </c>
      <c r="B214" s="18">
        <v>100</v>
      </c>
      <c r="C214" s="1">
        <v>46063</v>
      </c>
      <c r="D214" s="1">
        <v>46062</v>
      </c>
      <c r="E214" s="19" t="s">
        <v>26</v>
      </c>
      <c r="F214" s="19"/>
      <c r="G214" s="99" t="s">
        <v>167</v>
      </c>
      <c r="H214" s="3">
        <v>984.8</v>
      </c>
      <c r="I214" s="4">
        <v>285.70999999999998</v>
      </c>
      <c r="J214" s="4">
        <f t="shared" si="64"/>
        <v>281367.20799999998</v>
      </c>
      <c r="K214" s="4">
        <f t="shared" si="89"/>
        <v>299.99549999999999</v>
      </c>
      <c r="L214" s="1">
        <f t="shared" si="107"/>
        <v>46078</v>
      </c>
      <c r="M214" s="21">
        <f t="shared" si="77"/>
        <v>295435.56839999999</v>
      </c>
      <c r="N214" s="22" t="s">
        <v>97</v>
      </c>
      <c r="O214" s="2"/>
      <c r="P214" s="7">
        <f t="shared" si="121"/>
        <v>22</v>
      </c>
      <c r="Q214" s="66">
        <f t="shared" si="123"/>
        <v>3205.2735640109586</v>
      </c>
      <c r="R214" s="2"/>
      <c r="S214" s="2">
        <v>29741</v>
      </c>
      <c r="T214" s="2"/>
      <c r="U214" s="2"/>
      <c r="V214" s="2"/>
      <c r="W214" s="23">
        <v>46099</v>
      </c>
      <c r="Y214" s="18"/>
      <c r="Z214" s="1"/>
      <c r="AA214" s="1"/>
      <c r="AB214" s="2"/>
      <c r="AC214" s="3"/>
      <c r="AD214" s="4"/>
      <c r="AE214" s="4"/>
      <c r="AF214" s="24"/>
      <c r="AG214" s="2"/>
      <c r="AH214" s="23"/>
    </row>
    <row r="215" spans="1:34">
      <c r="A215" t="s">
        <v>114</v>
      </c>
      <c r="B215" s="18">
        <v>101</v>
      </c>
      <c r="C215" s="1">
        <v>46068</v>
      </c>
      <c r="D215" s="1">
        <v>46067</v>
      </c>
      <c r="E215" s="19" t="s">
        <v>26</v>
      </c>
      <c r="F215" s="19" t="s">
        <v>169</v>
      </c>
      <c r="G215" s="100" t="s">
        <v>167</v>
      </c>
      <c r="H215" s="3">
        <v>992.3</v>
      </c>
      <c r="I215" s="4">
        <v>219.04759999999999</v>
      </c>
      <c r="J215" s="4">
        <f t="shared" si="64"/>
        <v>217360.93347999998</v>
      </c>
      <c r="K215" s="4">
        <f t="shared" si="89"/>
        <v>229.99997999999999</v>
      </c>
      <c r="L215" s="1">
        <f t="shared" si="107"/>
        <v>46083</v>
      </c>
      <c r="M215" s="21">
        <f t="shared" si="77"/>
        <v>228228.98015399999</v>
      </c>
      <c r="N215" s="22" t="s">
        <v>97</v>
      </c>
      <c r="O215" s="2"/>
      <c r="P215" s="7">
        <f t="shared" si="121"/>
        <v>26</v>
      </c>
      <c r="Q215" s="66">
        <f t="shared" si="123"/>
        <v>2926.3332249882737</v>
      </c>
      <c r="R215" s="2"/>
      <c r="S215" s="2">
        <v>30305</v>
      </c>
      <c r="T215" s="2"/>
      <c r="U215" s="2"/>
      <c r="V215" s="2"/>
      <c r="W215" s="23">
        <v>46110</v>
      </c>
      <c r="Y215" s="18"/>
      <c r="Z215" s="1"/>
      <c r="AA215" s="1"/>
      <c r="AB215" s="2"/>
      <c r="AC215" s="3"/>
      <c r="AD215" s="4"/>
      <c r="AE215" s="4"/>
      <c r="AF215" s="24"/>
      <c r="AG215" s="2"/>
      <c r="AH215" s="23"/>
    </row>
    <row r="216" spans="1:34">
      <c r="A216" t="s">
        <v>114</v>
      </c>
      <c r="B216" s="18">
        <v>102</v>
      </c>
      <c r="C216" s="1">
        <v>46070</v>
      </c>
      <c r="D216" s="1">
        <v>46070</v>
      </c>
      <c r="E216" s="19" t="s">
        <v>26</v>
      </c>
      <c r="F216" s="19" t="s">
        <v>171</v>
      </c>
      <c r="G216" s="2" t="s">
        <v>170</v>
      </c>
      <c r="H216" s="3">
        <v>360.8</v>
      </c>
      <c r="I216" s="4">
        <v>181.02099999999999</v>
      </c>
      <c r="J216" s="4">
        <f t="shared" si="64"/>
        <v>65312.376799999998</v>
      </c>
      <c r="K216" s="4">
        <f t="shared" si="89"/>
        <v>190.07204999999999</v>
      </c>
      <c r="L216" s="1">
        <f t="shared" si="107"/>
        <v>46086</v>
      </c>
      <c r="M216" s="21">
        <f t="shared" si="77"/>
        <v>68577.995639999994</v>
      </c>
      <c r="N216" s="22" t="s">
        <v>97</v>
      </c>
      <c r="O216" s="2"/>
      <c r="P216" s="7">
        <f t="shared" si="121"/>
        <v>23</v>
      </c>
      <c r="Q216" s="66">
        <f t="shared" si="123"/>
        <v>777.84356698520537</v>
      </c>
      <c r="R216" s="2"/>
      <c r="S216" s="2" t="s">
        <v>172</v>
      </c>
      <c r="T216" s="2"/>
      <c r="U216" s="2"/>
      <c r="V216" s="2"/>
      <c r="W216" s="23">
        <v>46110</v>
      </c>
      <c r="Y216" s="18"/>
      <c r="Z216" s="1"/>
      <c r="AA216" s="1"/>
      <c r="AB216" s="2"/>
      <c r="AC216" s="3"/>
      <c r="AD216" s="4"/>
      <c r="AE216" s="4"/>
      <c r="AF216" s="24"/>
      <c r="AG216" s="2"/>
      <c r="AH216" s="23"/>
    </row>
    <row r="217" spans="1:34">
      <c r="A217" t="s">
        <v>114</v>
      </c>
      <c r="B217" s="18">
        <v>103</v>
      </c>
      <c r="C217" s="1">
        <v>46070</v>
      </c>
      <c r="D217" s="1">
        <v>46070</v>
      </c>
      <c r="E217" s="19" t="s">
        <v>26</v>
      </c>
      <c r="F217" s="19" t="s">
        <v>171</v>
      </c>
      <c r="G217" s="2" t="s">
        <v>170</v>
      </c>
      <c r="H217" s="3">
        <v>352</v>
      </c>
      <c r="I217" s="4">
        <v>181.09</v>
      </c>
      <c r="J217" s="4">
        <f t="shared" si="64"/>
        <v>63743.68</v>
      </c>
      <c r="K217" s="4">
        <f t="shared" si="89"/>
        <v>190.14450000000002</v>
      </c>
      <c r="L217" s="1">
        <f t="shared" si="107"/>
        <v>46086</v>
      </c>
      <c r="M217" s="21">
        <f t="shared" si="77"/>
        <v>66930.864000000001</v>
      </c>
      <c r="N217" s="22" t="s">
        <v>97</v>
      </c>
      <c r="O217" s="2"/>
      <c r="P217" s="7">
        <f t="shared" si="121"/>
        <v>23</v>
      </c>
      <c r="Q217" s="66">
        <f t="shared" si="123"/>
        <v>759.16103276712329</v>
      </c>
      <c r="R217" s="2"/>
      <c r="S217" s="2" t="s">
        <v>173</v>
      </c>
      <c r="T217" s="2"/>
      <c r="U217" s="2"/>
      <c r="V217" s="2"/>
      <c r="W217" s="23">
        <v>46110</v>
      </c>
      <c r="Y217" s="18"/>
      <c r="Z217" s="1"/>
      <c r="AA217" s="1"/>
      <c r="AB217" s="2"/>
      <c r="AC217" s="3"/>
      <c r="AD217" s="4"/>
      <c r="AE217" s="4"/>
      <c r="AF217" s="24"/>
      <c r="AG217" s="2"/>
      <c r="AH217" s="23"/>
    </row>
    <row r="218" spans="1:34">
      <c r="A218" t="s">
        <v>114</v>
      </c>
      <c r="B218" s="18">
        <v>104</v>
      </c>
      <c r="C218" s="1">
        <v>46070</v>
      </c>
      <c r="D218" s="1">
        <v>46070</v>
      </c>
      <c r="E218" s="19" t="s">
        <v>26</v>
      </c>
      <c r="F218" s="19" t="s">
        <v>171</v>
      </c>
      <c r="G218" s="2" t="s">
        <v>170</v>
      </c>
      <c r="H218" s="3">
        <v>352</v>
      </c>
      <c r="I218" s="4">
        <v>181.09</v>
      </c>
      <c r="J218" s="4">
        <f t="shared" si="64"/>
        <v>63743.68</v>
      </c>
      <c r="K218" s="4">
        <f t="shared" si="89"/>
        <v>190.14450000000002</v>
      </c>
      <c r="L218" s="1">
        <f t="shared" si="107"/>
        <v>46086</v>
      </c>
      <c r="M218" s="21">
        <f t="shared" si="77"/>
        <v>66930.864000000001</v>
      </c>
      <c r="N218" s="22" t="s">
        <v>97</v>
      </c>
      <c r="O218" s="2"/>
      <c r="P218" s="7">
        <f t="shared" si="121"/>
        <v>23</v>
      </c>
      <c r="Q218" s="66">
        <f t="shared" si="123"/>
        <v>759.16103276712329</v>
      </c>
      <c r="R218" s="2"/>
      <c r="S218" s="2" t="s">
        <v>174</v>
      </c>
      <c r="T218" s="2"/>
      <c r="U218" s="2"/>
      <c r="V218" s="2"/>
      <c r="W218" s="23">
        <v>46110</v>
      </c>
      <c r="Y218" s="18"/>
      <c r="Z218" s="1"/>
      <c r="AA218" s="1"/>
      <c r="AB218" s="2"/>
      <c r="AC218" s="3"/>
      <c r="AD218" s="4"/>
      <c r="AE218" s="4"/>
      <c r="AF218" s="24"/>
      <c r="AG218" s="2"/>
      <c r="AH218" s="23"/>
    </row>
    <row r="219" spans="1:34">
      <c r="A219" t="s">
        <v>114</v>
      </c>
      <c r="B219" s="18">
        <v>105</v>
      </c>
      <c r="C219" s="1">
        <v>46070</v>
      </c>
      <c r="D219" s="1">
        <v>46070</v>
      </c>
      <c r="E219" s="19" t="s">
        <v>26</v>
      </c>
      <c r="F219" s="19" t="s">
        <v>171</v>
      </c>
      <c r="G219" s="2" t="s">
        <v>170</v>
      </c>
      <c r="H219" s="3">
        <v>352</v>
      </c>
      <c r="I219" s="4">
        <v>181.09</v>
      </c>
      <c r="J219" s="4">
        <f t="shared" si="64"/>
        <v>63743.68</v>
      </c>
      <c r="K219" s="4">
        <f t="shared" si="89"/>
        <v>190.14450000000002</v>
      </c>
      <c r="L219" s="1">
        <f t="shared" si="107"/>
        <v>46086</v>
      </c>
      <c r="M219" s="21">
        <f t="shared" si="77"/>
        <v>66930.864000000001</v>
      </c>
      <c r="N219" s="22" t="s">
        <v>97</v>
      </c>
      <c r="O219" s="2"/>
      <c r="P219" s="7">
        <f t="shared" si="121"/>
        <v>23</v>
      </c>
      <c r="Q219" s="66">
        <f t="shared" si="123"/>
        <v>759.16103276712329</v>
      </c>
      <c r="R219" s="2"/>
      <c r="S219" s="2" t="s">
        <v>175</v>
      </c>
      <c r="T219" s="2"/>
      <c r="U219" s="2"/>
      <c r="V219" s="2"/>
      <c r="W219" s="23">
        <v>46110</v>
      </c>
      <c r="Y219" s="18"/>
      <c r="Z219" s="1"/>
      <c r="AA219" s="1"/>
      <c r="AB219" s="2"/>
      <c r="AC219" s="3"/>
      <c r="AD219" s="4"/>
      <c r="AE219" s="4"/>
      <c r="AF219" s="24"/>
      <c r="AG219" s="2"/>
      <c r="AH219" s="23"/>
    </row>
    <row r="220" spans="1:34" hidden="1">
      <c r="A220" t="s">
        <v>114</v>
      </c>
      <c r="B220" s="18">
        <v>106</v>
      </c>
      <c r="C220" s="1">
        <v>46074</v>
      </c>
      <c r="D220" s="1">
        <v>46073</v>
      </c>
      <c r="E220" s="19" t="s">
        <v>19</v>
      </c>
      <c r="F220" s="19">
        <v>5148</v>
      </c>
      <c r="G220" s="2" t="s">
        <v>20</v>
      </c>
      <c r="H220" s="3">
        <v>1153.8599999999999</v>
      </c>
      <c r="I220" s="4">
        <v>149.25</v>
      </c>
      <c r="J220" s="4">
        <f t="shared" si="64"/>
        <v>172213.60499999998</v>
      </c>
      <c r="K220" s="4">
        <f t="shared" si="89"/>
        <v>156.71250000000001</v>
      </c>
      <c r="L220" s="1">
        <f t="shared" ref="L220" si="124">D220+18</f>
        <v>46091</v>
      </c>
      <c r="M220" s="21">
        <f t="shared" si="77"/>
        <v>180824.28524999999</v>
      </c>
      <c r="N220" s="22" t="s">
        <v>98</v>
      </c>
      <c r="O220" s="2"/>
      <c r="P220" s="7">
        <f t="shared" ref="P220" si="125">DAYS360(L220,W220)-(1)</f>
        <v>9</v>
      </c>
      <c r="Q220" s="66">
        <f t="shared" ref="Q220" si="126">0.18*P220*M220/365</f>
        <v>802.5625811095889</v>
      </c>
      <c r="R220" s="2"/>
      <c r="S220" s="2">
        <v>33545</v>
      </c>
      <c r="T220" s="2"/>
      <c r="U220" s="2" t="s">
        <v>107</v>
      </c>
      <c r="V220" s="1">
        <v>46127</v>
      </c>
      <c r="W220" s="23">
        <v>46101</v>
      </c>
      <c r="Y220" s="18"/>
      <c r="Z220" s="1"/>
      <c r="AA220" s="1"/>
      <c r="AB220" s="2"/>
      <c r="AC220" s="3"/>
      <c r="AD220" s="4"/>
      <c r="AE220" s="4"/>
      <c r="AF220" s="24"/>
      <c r="AG220" s="2"/>
      <c r="AH220" s="23"/>
    </row>
    <row r="221" spans="1:34" hidden="1">
      <c r="A221" t="s">
        <v>114</v>
      </c>
      <c r="B221" s="18">
        <v>107</v>
      </c>
      <c r="C221" s="1">
        <v>46080</v>
      </c>
      <c r="D221" s="1">
        <v>46080</v>
      </c>
      <c r="E221" s="19" t="s">
        <v>183</v>
      </c>
      <c r="F221" s="19" t="s">
        <v>184</v>
      </c>
      <c r="G221" s="2" t="s">
        <v>185</v>
      </c>
      <c r="H221" s="3">
        <v>672</v>
      </c>
      <c r="I221" s="4">
        <v>259</v>
      </c>
      <c r="J221" s="4">
        <f t="shared" si="64"/>
        <v>174048</v>
      </c>
      <c r="K221" s="4">
        <f t="shared" si="89"/>
        <v>271.95</v>
      </c>
      <c r="L221" s="1">
        <f t="shared" si="107"/>
        <v>46096</v>
      </c>
      <c r="M221" s="21">
        <f t="shared" si="77"/>
        <v>182750.4</v>
      </c>
      <c r="N221" s="22" t="s">
        <v>97</v>
      </c>
      <c r="O221" s="2"/>
      <c r="P221" s="7">
        <f t="shared" ca="1" si="116"/>
        <v>91</v>
      </c>
      <c r="Q221" s="2"/>
      <c r="R221" s="2"/>
      <c r="S221" s="2" t="s">
        <v>186</v>
      </c>
      <c r="T221" s="2"/>
      <c r="U221" s="2"/>
      <c r="V221" s="2"/>
      <c r="W221" s="23">
        <v>46112</v>
      </c>
      <c r="Y221" s="18"/>
      <c r="Z221" s="1"/>
      <c r="AA221" s="1"/>
      <c r="AB221" s="2"/>
      <c r="AC221" s="3"/>
      <c r="AD221" s="4"/>
      <c r="AE221" s="4"/>
      <c r="AF221" s="24"/>
      <c r="AG221" s="2"/>
      <c r="AH221" s="23"/>
    </row>
    <row r="222" spans="1:34">
      <c r="A222" t="s">
        <v>114</v>
      </c>
      <c r="B222" s="18">
        <v>108</v>
      </c>
      <c r="C222" s="1">
        <v>46086</v>
      </c>
      <c r="D222" s="1">
        <v>46086</v>
      </c>
      <c r="E222" s="19" t="s">
        <v>26</v>
      </c>
      <c r="F222" s="19" t="s">
        <v>29</v>
      </c>
      <c r="G222" s="2" t="s">
        <v>167</v>
      </c>
      <c r="H222" s="3">
        <v>1000.59</v>
      </c>
      <c r="I222" s="4">
        <v>285.71420000000001</v>
      </c>
      <c r="J222" s="4">
        <f t="shared" si="64"/>
        <v>285882.77137800003</v>
      </c>
      <c r="K222" s="4">
        <f t="shared" si="89"/>
        <v>299.99991</v>
      </c>
      <c r="L222" s="1">
        <f t="shared" si="107"/>
        <v>46102</v>
      </c>
      <c r="M222" s="21">
        <f t="shared" si="77"/>
        <v>300176.90994690004</v>
      </c>
      <c r="N222" s="22" t="s">
        <v>97</v>
      </c>
      <c r="O222" s="2"/>
      <c r="P222" s="7">
        <f t="shared" ref="P222" si="127">DAYS360(L222,W222)-(1)</f>
        <v>9</v>
      </c>
      <c r="Q222" s="66">
        <f t="shared" ref="Q222" si="128">0.18*P222*M222/365</f>
        <v>1332.292038668433</v>
      </c>
      <c r="R222" s="2"/>
      <c r="S222" s="2">
        <v>31752</v>
      </c>
      <c r="T222" s="2"/>
      <c r="U222" s="2"/>
      <c r="V222" s="2"/>
      <c r="W222" s="23">
        <v>46112</v>
      </c>
      <c r="Y222" s="18"/>
      <c r="Z222" s="1"/>
      <c r="AA222" s="1"/>
      <c r="AB222" s="2"/>
      <c r="AC222" s="3"/>
      <c r="AD222" s="4"/>
      <c r="AE222" s="4"/>
      <c r="AF222" s="24"/>
      <c r="AG222" s="2"/>
      <c r="AH222" s="23"/>
    </row>
    <row r="223" spans="1:34" hidden="1">
      <c r="A223" t="s">
        <v>114</v>
      </c>
      <c r="B223" s="18">
        <v>109</v>
      </c>
      <c r="C223" s="1">
        <v>46089</v>
      </c>
      <c r="D223" s="1">
        <v>46088</v>
      </c>
      <c r="E223" s="19" t="s">
        <v>19</v>
      </c>
      <c r="F223" s="19">
        <v>5148</v>
      </c>
      <c r="G223" s="2" t="s">
        <v>20</v>
      </c>
      <c r="H223" s="3">
        <v>770.16</v>
      </c>
      <c r="I223" s="4">
        <v>148.25</v>
      </c>
      <c r="J223" s="4">
        <f t="shared" si="64"/>
        <v>114176.22</v>
      </c>
      <c r="K223" s="4">
        <f t="shared" si="89"/>
        <v>155.66249999999999</v>
      </c>
      <c r="L223" s="1">
        <f t="shared" ref="L223:L224" si="129">D223+18</f>
        <v>46106</v>
      </c>
      <c r="M223" s="21">
        <f t="shared" si="77"/>
        <v>119885.03099999999</v>
      </c>
      <c r="N223" s="22" t="s">
        <v>98</v>
      </c>
      <c r="O223" s="2"/>
      <c r="P223" s="7">
        <f t="shared" ref="P223:P224" si="130">DAYS360(L223,W223)-(1)</f>
        <v>0</v>
      </c>
      <c r="Q223" s="2">
        <v>0</v>
      </c>
      <c r="R223" s="2"/>
      <c r="S223" s="2">
        <v>34890</v>
      </c>
      <c r="T223" s="2"/>
      <c r="U223" s="2" t="s">
        <v>107</v>
      </c>
      <c r="V223" s="1">
        <v>46127</v>
      </c>
      <c r="W223" s="23">
        <v>46107</v>
      </c>
      <c r="Y223" s="18"/>
      <c r="Z223" s="1"/>
      <c r="AA223" s="1"/>
      <c r="AB223" s="2"/>
      <c r="AC223" s="3"/>
      <c r="AD223" s="4"/>
      <c r="AE223" s="4"/>
      <c r="AF223" s="24"/>
      <c r="AG223" s="2"/>
      <c r="AH223" s="23"/>
    </row>
    <row r="224" spans="1:34" hidden="1">
      <c r="A224" t="s">
        <v>114</v>
      </c>
      <c r="B224" s="18">
        <v>110</v>
      </c>
      <c r="C224" s="1">
        <v>46089</v>
      </c>
      <c r="D224" s="1">
        <v>46088</v>
      </c>
      <c r="E224" s="19" t="s">
        <v>19</v>
      </c>
      <c r="F224" s="19">
        <v>5148</v>
      </c>
      <c r="G224" s="2" t="s">
        <v>20</v>
      </c>
      <c r="H224" s="3">
        <v>384.74</v>
      </c>
      <c r="I224" s="4">
        <v>148.25</v>
      </c>
      <c r="J224" s="4">
        <f t="shared" si="64"/>
        <v>57037.705000000002</v>
      </c>
      <c r="K224" s="4">
        <f t="shared" si="89"/>
        <v>155.66249999999999</v>
      </c>
      <c r="L224" s="1">
        <f t="shared" si="129"/>
        <v>46106</v>
      </c>
      <c r="M224" s="21">
        <f t="shared" si="77"/>
        <v>59889.590250000001</v>
      </c>
      <c r="N224" s="22" t="s">
        <v>98</v>
      </c>
      <c r="O224" s="2"/>
      <c r="P224" s="7">
        <f t="shared" si="130"/>
        <v>0</v>
      </c>
      <c r="Q224" s="2">
        <v>0</v>
      </c>
      <c r="R224" s="2"/>
      <c r="S224" s="2">
        <v>34891</v>
      </c>
      <c r="T224" s="2"/>
      <c r="U224" s="2" t="s">
        <v>107</v>
      </c>
      <c r="V224" s="1">
        <v>46127</v>
      </c>
      <c r="W224" s="23">
        <v>46107</v>
      </c>
      <c r="Y224" s="18"/>
      <c r="Z224" s="1"/>
      <c r="AA224" s="1"/>
      <c r="AB224" s="2"/>
      <c r="AC224" s="3"/>
      <c r="AD224" s="4"/>
      <c r="AE224" s="4"/>
      <c r="AF224" s="24"/>
      <c r="AG224" s="2"/>
      <c r="AH224" s="23"/>
    </row>
    <row r="225" spans="1:34" hidden="1">
      <c r="A225" t="s">
        <v>114</v>
      </c>
      <c r="B225" s="18">
        <v>111</v>
      </c>
      <c r="C225" s="1">
        <v>46094</v>
      </c>
      <c r="D225" s="1">
        <v>46094</v>
      </c>
      <c r="E225" s="19" t="s">
        <v>183</v>
      </c>
      <c r="F225" s="19" t="s">
        <v>184</v>
      </c>
      <c r="G225" s="2" t="s">
        <v>185</v>
      </c>
      <c r="H225" s="3">
        <v>680.4</v>
      </c>
      <c r="I225" s="4">
        <v>287</v>
      </c>
      <c r="J225" s="4">
        <f t="shared" si="64"/>
        <v>195274.8</v>
      </c>
      <c r="K225" s="4">
        <f t="shared" si="89"/>
        <v>301.35000000000002</v>
      </c>
      <c r="L225" s="1">
        <f t="shared" si="107"/>
        <v>46110</v>
      </c>
      <c r="M225" s="21">
        <f t="shared" si="77"/>
        <v>205038.54</v>
      </c>
      <c r="N225" s="22" t="s">
        <v>97</v>
      </c>
      <c r="O225" s="2"/>
      <c r="P225" s="7">
        <f t="shared" ca="1" si="116"/>
        <v>77</v>
      </c>
      <c r="Q225" s="2"/>
      <c r="R225" s="2"/>
      <c r="S225" s="2" t="s">
        <v>201</v>
      </c>
      <c r="T225" s="2"/>
      <c r="U225" s="2"/>
      <c r="V225" s="2"/>
      <c r="W225" s="23">
        <v>46134</v>
      </c>
      <c r="Y225" s="18"/>
      <c r="Z225" s="1"/>
      <c r="AA225" s="1"/>
      <c r="AB225" s="2"/>
      <c r="AC225" s="3"/>
      <c r="AD225" s="4"/>
      <c r="AE225" s="4"/>
      <c r="AF225" s="24"/>
      <c r="AG225" s="2"/>
      <c r="AH225" s="23"/>
    </row>
    <row r="226" spans="1:34" hidden="1">
      <c r="A226" t="s">
        <v>114</v>
      </c>
      <c r="B226" s="18">
        <v>112</v>
      </c>
      <c r="C226" s="1">
        <v>46111</v>
      </c>
      <c r="D226" s="1">
        <v>46111</v>
      </c>
      <c r="E226" s="19" t="s">
        <v>205</v>
      </c>
      <c r="F226" s="19"/>
      <c r="G226" s="2" t="s">
        <v>35</v>
      </c>
      <c r="H226" s="3">
        <v>60</v>
      </c>
      <c r="I226" s="4">
        <v>315</v>
      </c>
      <c r="J226" s="4">
        <f t="shared" si="64"/>
        <v>18900</v>
      </c>
      <c r="K226" s="4">
        <f t="shared" si="89"/>
        <v>330.75</v>
      </c>
      <c r="L226" s="1">
        <f t="shared" si="107"/>
        <v>46127</v>
      </c>
      <c r="M226" s="21">
        <f t="shared" si="77"/>
        <v>19845</v>
      </c>
      <c r="N226" s="22" t="s">
        <v>257</v>
      </c>
      <c r="O226" s="2"/>
      <c r="P226" s="7">
        <f t="shared" ca="1" si="116"/>
        <v>61</v>
      </c>
      <c r="Q226" s="2"/>
      <c r="R226" s="2"/>
      <c r="S226" s="2" t="s">
        <v>206</v>
      </c>
      <c r="T226" s="2"/>
      <c r="U226" s="2"/>
      <c r="V226" s="2"/>
      <c r="W226" s="23">
        <v>46133</v>
      </c>
      <c r="Y226" s="18"/>
      <c r="Z226" s="1"/>
      <c r="AA226" s="1"/>
      <c r="AB226" s="2"/>
      <c r="AC226" s="3"/>
      <c r="AD226" s="4"/>
      <c r="AE226" s="4"/>
      <c r="AF226" s="24"/>
      <c r="AG226" s="2"/>
      <c r="AH226" s="23"/>
    </row>
    <row r="227" spans="1:34" hidden="1">
      <c r="A227" t="s">
        <v>114</v>
      </c>
      <c r="B227" s="18">
        <v>113</v>
      </c>
      <c r="C227" s="1">
        <v>46111</v>
      </c>
      <c r="D227" s="1">
        <v>46111</v>
      </c>
      <c r="E227" s="19" t="s">
        <v>196</v>
      </c>
      <c r="F227" s="19"/>
      <c r="G227" s="2" t="s">
        <v>167</v>
      </c>
      <c r="H227" s="3">
        <v>1001.25</v>
      </c>
      <c r="I227" s="4">
        <v>333.33</v>
      </c>
      <c r="J227" s="4">
        <f t="shared" si="64"/>
        <v>333746.66249999998</v>
      </c>
      <c r="K227" s="4">
        <f t="shared" si="89"/>
        <v>349.99650000000003</v>
      </c>
      <c r="L227" s="1">
        <f t="shared" si="107"/>
        <v>46127</v>
      </c>
      <c r="M227" s="21">
        <f t="shared" si="77"/>
        <v>350433.99562500004</v>
      </c>
      <c r="N227" s="22" t="s">
        <v>97</v>
      </c>
      <c r="O227" s="2"/>
      <c r="P227" s="7">
        <f t="shared" ca="1" si="116"/>
        <v>61</v>
      </c>
      <c r="Q227" s="2"/>
      <c r="R227" s="2"/>
      <c r="S227" s="2" t="s">
        <v>258</v>
      </c>
      <c r="T227" s="2"/>
      <c r="U227" s="2"/>
      <c r="V227" s="2"/>
      <c r="W227" s="23">
        <v>46155</v>
      </c>
      <c r="Y227" s="18"/>
      <c r="Z227" s="1"/>
      <c r="AA227" s="1"/>
      <c r="AB227" s="2"/>
      <c r="AC227" s="3"/>
      <c r="AD227" s="4"/>
      <c r="AE227" s="4"/>
      <c r="AF227" s="24"/>
      <c r="AG227" s="2"/>
      <c r="AH227" s="23"/>
    </row>
    <row r="228" spans="1:34" hidden="1">
      <c r="A228" t="s">
        <v>114</v>
      </c>
      <c r="B228" s="18">
        <v>114</v>
      </c>
      <c r="C228" s="1">
        <v>46112</v>
      </c>
      <c r="D228" s="1">
        <v>46112</v>
      </c>
      <c r="E228" s="19" t="s">
        <v>103</v>
      </c>
      <c r="F228" s="19"/>
      <c r="G228" s="2" t="s">
        <v>192</v>
      </c>
      <c r="H228" s="3">
        <v>500</v>
      </c>
      <c r="I228" s="4">
        <v>476.76</v>
      </c>
      <c r="J228" s="4">
        <f t="shared" si="64"/>
        <v>238380</v>
      </c>
      <c r="K228" s="4">
        <f t="shared" si="89"/>
        <v>500.59800000000001</v>
      </c>
      <c r="L228" s="1">
        <f t="shared" si="107"/>
        <v>46128</v>
      </c>
      <c r="M228" s="21">
        <f t="shared" si="77"/>
        <v>250299</v>
      </c>
      <c r="N228" s="22" t="s">
        <v>98</v>
      </c>
      <c r="O228" s="2"/>
      <c r="P228" s="7">
        <f t="shared" ca="1" si="116"/>
        <v>60</v>
      </c>
      <c r="Q228" s="2"/>
      <c r="R228" s="2"/>
      <c r="S228" s="2" t="s">
        <v>259</v>
      </c>
      <c r="T228" s="2"/>
      <c r="U228" s="2"/>
      <c r="V228" s="2"/>
      <c r="W228" s="23">
        <v>46139</v>
      </c>
      <c r="Y228" s="18"/>
      <c r="Z228" s="1"/>
      <c r="AA228" s="1"/>
      <c r="AB228" s="2"/>
      <c r="AC228" s="3"/>
      <c r="AD228" s="4"/>
      <c r="AE228" s="4"/>
      <c r="AF228" s="24"/>
      <c r="AG228" s="2"/>
      <c r="AH228" s="23"/>
    </row>
    <row r="229" spans="1:34" hidden="1">
      <c r="A229" t="s">
        <v>114</v>
      </c>
      <c r="B229" s="18">
        <v>115</v>
      </c>
      <c r="C229" s="1">
        <v>46112</v>
      </c>
      <c r="D229" s="1">
        <v>46112</v>
      </c>
      <c r="E229" s="19" t="s">
        <v>203</v>
      </c>
      <c r="F229" s="19"/>
      <c r="G229" s="2" t="s">
        <v>182</v>
      </c>
      <c r="H229" s="3">
        <v>2065.21</v>
      </c>
      <c r="I229" s="4">
        <v>315</v>
      </c>
      <c r="J229" s="4">
        <f t="shared" si="64"/>
        <v>650541.15</v>
      </c>
      <c r="K229" s="4">
        <f t="shared" si="89"/>
        <v>330.75</v>
      </c>
      <c r="L229" s="1">
        <f t="shared" si="107"/>
        <v>46128</v>
      </c>
      <c r="M229" s="24">
        <f t="shared" si="77"/>
        <v>683068.20750000002</v>
      </c>
      <c r="N229" s="25">
        <v>483068</v>
      </c>
      <c r="O229" s="2"/>
      <c r="P229" s="7">
        <f t="shared" ca="1" si="116"/>
        <v>60</v>
      </c>
      <c r="Q229" s="2"/>
      <c r="R229" s="2"/>
      <c r="S229" s="2" t="s">
        <v>207</v>
      </c>
      <c r="T229" s="2"/>
      <c r="U229" s="2"/>
      <c r="V229" s="2"/>
      <c r="W229" s="23"/>
      <c r="Y229" s="18"/>
      <c r="Z229" s="1"/>
      <c r="AA229" s="1"/>
      <c r="AB229" s="2"/>
      <c r="AC229" s="3"/>
      <c r="AD229" s="4"/>
      <c r="AE229" s="4"/>
      <c r="AF229" s="24"/>
      <c r="AG229" s="2"/>
      <c r="AH229" s="23"/>
    </row>
    <row r="230" spans="1:34" hidden="1">
      <c r="A230" t="s">
        <v>114</v>
      </c>
      <c r="B230" s="18"/>
      <c r="C230" s="1"/>
      <c r="D230" s="1"/>
      <c r="E230" s="19"/>
      <c r="F230" s="19"/>
      <c r="G230" s="2"/>
      <c r="H230" s="3"/>
      <c r="I230" s="4"/>
      <c r="J230" s="4"/>
      <c r="K230" s="4"/>
      <c r="L230" s="1"/>
      <c r="M230" s="24"/>
      <c r="N230" s="25"/>
      <c r="O230" s="2"/>
      <c r="P230" s="7"/>
      <c r="Q230" s="2"/>
      <c r="R230" s="2"/>
      <c r="S230" s="2"/>
      <c r="T230" s="2"/>
      <c r="U230" s="2"/>
      <c r="V230" s="2"/>
      <c r="W230" s="23"/>
      <c r="Y230" s="18"/>
      <c r="Z230" s="1"/>
      <c r="AA230" s="1"/>
      <c r="AB230" s="2"/>
      <c r="AC230" s="3"/>
      <c r="AD230" s="4"/>
      <c r="AE230" s="4"/>
      <c r="AF230" s="24"/>
      <c r="AG230" s="2"/>
      <c r="AH230" s="23"/>
    </row>
    <row r="231" spans="1:34" hidden="1">
      <c r="A231" t="s">
        <v>114</v>
      </c>
      <c r="B231" s="18"/>
      <c r="C231" s="1"/>
      <c r="D231" s="1"/>
      <c r="E231" s="19"/>
      <c r="F231" s="19"/>
      <c r="G231" s="2"/>
      <c r="H231" s="3"/>
      <c r="I231" s="4"/>
      <c r="J231" s="4"/>
      <c r="K231" s="4"/>
      <c r="L231" s="1"/>
      <c r="M231" s="24"/>
      <c r="N231" s="25"/>
      <c r="O231" s="2"/>
      <c r="P231" s="7"/>
      <c r="Q231" s="2"/>
      <c r="R231" s="2"/>
      <c r="S231" s="2"/>
      <c r="T231" s="2"/>
      <c r="U231" s="2"/>
      <c r="V231" s="2"/>
      <c r="W231" s="23"/>
      <c r="Y231" s="18"/>
      <c r="Z231" s="1"/>
      <c r="AA231" s="1"/>
      <c r="AB231" s="2"/>
      <c r="AC231" s="3"/>
      <c r="AD231" s="4"/>
      <c r="AE231" s="4"/>
      <c r="AF231" s="24"/>
      <c r="AG231" s="2"/>
      <c r="AH231" s="23"/>
    </row>
    <row r="232" spans="1:34" hidden="1">
      <c r="A232" t="s">
        <v>114</v>
      </c>
      <c r="B232" s="18"/>
      <c r="C232" s="1"/>
      <c r="D232" s="1"/>
      <c r="E232" s="19"/>
      <c r="F232" s="19"/>
      <c r="G232" s="2"/>
      <c r="H232" s="3"/>
      <c r="I232" s="4"/>
      <c r="J232" s="4"/>
      <c r="K232" s="4"/>
      <c r="L232" s="1"/>
      <c r="M232" s="24"/>
      <c r="N232" s="25"/>
      <c r="O232" s="2"/>
      <c r="P232" s="7"/>
      <c r="Q232" s="2"/>
      <c r="R232" s="2"/>
      <c r="S232" s="2"/>
      <c r="T232" s="2"/>
      <c r="U232" s="2"/>
      <c r="V232" s="2"/>
      <c r="W232" s="23"/>
      <c r="Y232" s="18"/>
      <c r="Z232" s="1"/>
      <c r="AA232" s="1"/>
      <c r="AB232" s="2"/>
      <c r="AC232" s="3"/>
      <c r="AD232" s="4"/>
      <c r="AE232" s="4"/>
      <c r="AF232" s="24"/>
      <c r="AG232" s="2"/>
      <c r="AH232" s="23"/>
    </row>
    <row r="233" spans="1:34" hidden="1">
      <c r="A233" t="s">
        <v>114</v>
      </c>
      <c r="B233" s="18"/>
      <c r="C233" s="1"/>
      <c r="D233" s="1"/>
      <c r="E233" s="2"/>
      <c r="F233" s="2"/>
      <c r="G233" s="2"/>
      <c r="H233" s="3"/>
      <c r="I233" s="4"/>
      <c r="J233" s="4"/>
      <c r="K233" s="4"/>
      <c r="L233" s="1"/>
      <c r="M233" s="24"/>
      <c r="N233" s="25"/>
      <c r="O233" s="2"/>
      <c r="P233" s="26"/>
      <c r="Q233" s="2"/>
      <c r="R233" s="2"/>
      <c r="S233" s="2"/>
      <c r="T233" s="2"/>
      <c r="U233" s="2"/>
      <c r="V233" s="2"/>
      <c r="W233" s="23"/>
      <c r="Y233" s="18"/>
      <c r="Z233" s="1"/>
      <c r="AA233" s="1"/>
      <c r="AB233" s="2"/>
      <c r="AC233" s="3"/>
      <c r="AD233" s="4"/>
      <c r="AE233" s="4"/>
      <c r="AF233" s="24"/>
      <c r="AG233" s="2"/>
      <c r="AH233" s="23"/>
    </row>
    <row r="234" spans="1:34" ht="15.75" hidden="1" thickBot="1">
      <c r="A234" t="s">
        <v>114</v>
      </c>
      <c r="B234" s="27"/>
      <c r="C234" s="28"/>
      <c r="D234" s="28"/>
      <c r="E234" s="29"/>
      <c r="F234" s="29"/>
      <c r="G234" s="30"/>
      <c r="H234" s="31"/>
      <c r="I234" s="32"/>
      <c r="J234" s="32"/>
      <c r="K234" s="32"/>
      <c r="L234" s="28"/>
      <c r="M234" s="33"/>
      <c r="N234" s="36"/>
      <c r="O234" s="30"/>
      <c r="P234" s="34"/>
      <c r="Q234" s="30"/>
      <c r="R234" s="30"/>
      <c r="S234" s="30"/>
      <c r="T234" s="30"/>
      <c r="U234" s="30"/>
      <c r="V234" s="30"/>
      <c r="W234" s="35"/>
      <c r="Y234" s="27"/>
      <c r="Z234" s="28"/>
      <c r="AA234" s="28"/>
      <c r="AB234" s="30"/>
      <c r="AC234" s="31"/>
      <c r="AD234" s="32"/>
      <c r="AE234" s="32"/>
      <c r="AF234" s="33"/>
      <c r="AG234" s="30"/>
      <c r="AH234" s="35"/>
    </row>
    <row r="235" spans="1:34" ht="15.75" hidden="1" thickBot="1">
      <c r="A235" t="s">
        <v>114</v>
      </c>
      <c r="B235" s="18"/>
      <c r="C235" s="1"/>
      <c r="D235" s="1"/>
      <c r="E235" s="2"/>
      <c r="F235" s="2"/>
      <c r="G235" s="2"/>
      <c r="H235" s="3"/>
      <c r="I235" s="4"/>
      <c r="J235" s="4"/>
      <c r="K235" s="4"/>
      <c r="L235" s="1"/>
      <c r="M235" s="33"/>
      <c r="N235" s="36"/>
      <c r="O235" s="2"/>
      <c r="P235" s="7"/>
      <c r="Q235" s="2"/>
      <c r="R235" s="2"/>
      <c r="S235" s="2"/>
      <c r="T235" s="2"/>
      <c r="U235" s="2"/>
      <c r="V235" s="2"/>
      <c r="W235" s="23"/>
      <c r="Y235" s="18"/>
      <c r="Z235" s="1"/>
      <c r="AA235" s="1"/>
      <c r="AB235" s="2"/>
      <c r="AC235" s="3"/>
      <c r="AD235" s="4"/>
      <c r="AE235" s="4"/>
      <c r="AF235" s="33"/>
      <c r="AG235" s="2"/>
      <c r="AH235" s="23"/>
    </row>
    <row r="236" spans="1:34" ht="15.75" hidden="1" thickBot="1">
      <c r="A236" t="s">
        <v>114</v>
      </c>
      <c r="B236" s="8">
        <f>(M236+T236)/H236</f>
        <v>273.96872545165252</v>
      </c>
      <c r="C236" s="9"/>
      <c r="D236" s="9"/>
      <c r="E236" s="10"/>
      <c r="F236" s="10"/>
      <c r="G236" s="84">
        <f>H236/H237</f>
        <v>0.55828423126733173</v>
      </c>
      <c r="H236" s="11">
        <f>SUM(H115:H235)</f>
        <v>59537.390000000021</v>
      </c>
      <c r="I236" s="12"/>
      <c r="J236" s="12"/>
      <c r="K236" s="12"/>
      <c r="L236" s="9"/>
      <c r="M236" s="37">
        <f>SUM(M115:M235)</f>
        <v>15205441.855017968</v>
      </c>
      <c r="N236" s="38">
        <f>SUM(N115:N235)</f>
        <v>483068</v>
      </c>
      <c r="O236" s="10"/>
      <c r="P236" s="39"/>
      <c r="Q236" s="10" t="e">
        <f>SUM(#REF!)</f>
        <v>#REF!</v>
      </c>
      <c r="R236" s="10"/>
      <c r="S236" s="10"/>
      <c r="T236" s="10">
        <f>SUM(T115:T235)</f>
        <v>1105941</v>
      </c>
      <c r="U236" s="10"/>
      <c r="V236" s="10"/>
      <c r="W236" s="17"/>
      <c r="Y236" s="8"/>
      <c r="Z236" s="9"/>
      <c r="AA236" s="9"/>
      <c r="AB236" s="10"/>
      <c r="AC236" s="11">
        <f>SUM(AC115:AC235)</f>
        <v>440.07</v>
      </c>
      <c r="AD236" s="12"/>
      <c r="AE236" s="12"/>
      <c r="AF236" s="37">
        <f>SUM(AF115:AF235)</f>
        <v>65996.417760000011</v>
      </c>
      <c r="AG236" s="10"/>
      <c r="AH236" s="17"/>
    </row>
    <row r="237" spans="1:34" hidden="1">
      <c r="A237" t="s">
        <v>56</v>
      </c>
      <c r="H237" s="83">
        <f>H110+H236</f>
        <v>106643.51000000004</v>
      </c>
    </row>
    <row r="238" spans="1:34" hidden="1">
      <c r="A238" t="s">
        <v>56</v>
      </c>
      <c r="B238" s="147" t="s">
        <v>109</v>
      </c>
      <c r="C238" s="147"/>
      <c r="Y238" s="147" t="s">
        <v>39</v>
      </c>
      <c r="Z238" s="147"/>
    </row>
    <row r="239" spans="1:34" ht="15.75" hidden="1" thickBot="1">
      <c r="A239" t="s">
        <v>56</v>
      </c>
      <c r="B239" s="148" t="s">
        <v>108</v>
      </c>
      <c r="C239" s="148"/>
      <c r="Y239" s="148" t="s">
        <v>34</v>
      </c>
      <c r="Z239" s="148"/>
      <c r="AA239" s="1"/>
      <c r="AB239" s="2"/>
      <c r="AC239" s="3"/>
      <c r="AD239" s="4"/>
      <c r="AE239" s="4"/>
      <c r="AF239" s="5"/>
      <c r="AG239" s="2"/>
      <c r="AH239" s="1"/>
    </row>
    <row r="240" spans="1:34" ht="15.75" hidden="1" thickBot="1">
      <c r="A240" t="s">
        <v>56</v>
      </c>
      <c r="B240" s="8" t="s">
        <v>0</v>
      </c>
      <c r="C240" s="9" t="s">
        <v>1</v>
      </c>
      <c r="D240" s="9" t="s">
        <v>2</v>
      </c>
      <c r="E240" s="10" t="s">
        <v>3</v>
      </c>
      <c r="F240" s="10" t="s">
        <v>4</v>
      </c>
      <c r="G240" s="10" t="s">
        <v>5</v>
      </c>
      <c r="H240" s="11" t="s">
        <v>6</v>
      </c>
      <c r="I240" s="12" t="s">
        <v>7</v>
      </c>
      <c r="J240" s="12" t="s">
        <v>112</v>
      </c>
      <c r="K240" s="12" t="s">
        <v>8</v>
      </c>
      <c r="L240" s="9" t="s">
        <v>9</v>
      </c>
      <c r="M240" s="13" t="s">
        <v>10</v>
      </c>
      <c r="N240" s="14" t="s">
        <v>11</v>
      </c>
      <c r="O240" s="15"/>
      <c r="P240" s="16" t="s">
        <v>12</v>
      </c>
      <c r="Q240" s="15" t="s">
        <v>13</v>
      </c>
      <c r="R240" s="15" t="s">
        <v>14</v>
      </c>
      <c r="S240" s="10" t="s">
        <v>15</v>
      </c>
      <c r="T240" s="15" t="s">
        <v>16</v>
      </c>
      <c r="U240" s="10"/>
      <c r="V240" s="10" t="s">
        <v>17</v>
      </c>
      <c r="W240" s="17" t="s">
        <v>18</v>
      </c>
      <c r="Y240" s="8" t="s">
        <v>0</v>
      </c>
      <c r="Z240" s="9" t="s">
        <v>1</v>
      </c>
      <c r="AA240" s="9" t="s">
        <v>2</v>
      </c>
      <c r="AB240" s="10" t="s">
        <v>5</v>
      </c>
      <c r="AC240" s="11" t="s">
        <v>6</v>
      </c>
      <c r="AD240" s="12" t="s">
        <v>7</v>
      </c>
      <c r="AE240" s="12" t="s">
        <v>8</v>
      </c>
      <c r="AF240" s="13" t="s">
        <v>10</v>
      </c>
      <c r="AG240" s="15"/>
      <c r="AH240" s="17" t="s">
        <v>18</v>
      </c>
    </row>
    <row r="241" spans="1:34" hidden="1">
      <c r="A241" t="s">
        <v>56</v>
      </c>
      <c r="B241" s="18">
        <v>1</v>
      </c>
      <c r="C241" s="1">
        <v>45941</v>
      </c>
      <c r="D241" s="1">
        <v>45941</v>
      </c>
      <c r="E241" s="19" t="s">
        <v>86</v>
      </c>
      <c r="F241" s="19"/>
      <c r="G241" s="79" t="s">
        <v>35</v>
      </c>
      <c r="H241" s="78">
        <v>500</v>
      </c>
      <c r="I241" s="71">
        <v>416.9</v>
      </c>
      <c r="J241" s="4">
        <f>H241*I241</f>
        <v>208450</v>
      </c>
      <c r="K241" s="4">
        <f>I241</f>
        <v>416.9</v>
      </c>
      <c r="L241" s="1">
        <f t="shared" ref="L241:L244" si="131">D241+15</f>
        <v>45956</v>
      </c>
      <c r="M241" s="21">
        <f t="shared" ref="M241:M244" si="132">H241*K241</f>
        <v>208450</v>
      </c>
      <c r="N241" s="22" t="s">
        <v>120</v>
      </c>
      <c r="O241" s="2"/>
      <c r="P241" s="7">
        <f t="shared" ref="P241" ca="1" si="133">DAYS360(L241,TODAY())-(1)</f>
        <v>230</v>
      </c>
      <c r="Q241" s="2"/>
      <c r="R241" s="2"/>
      <c r="S241" s="2"/>
      <c r="T241" s="2"/>
      <c r="U241" s="2"/>
      <c r="V241" s="2"/>
      <c r="W241" s="23"/>
      <c r="Y241" s="18">
        <v>1</v>
      </c>
      <c r="Z241" s="1"/>
      <c r="AA241" s="1"/>
      <c r="AB241" s="2"/>
      <c r="AC241" s="20"/>
      <c r="AD241" s="4"/>
      <c r="AE241" s="4"/>
      <c r="AF241" s="21"/>
      <c r="AG241" s="2"/>
      <c r="AH241" s="23"/>
    </row>
    <row r="242" spans="1:34" hidden="1">
      <c r="A242" t="s">
        <v>56</v>
      </c>
      <c r="B242" s="18">
        <v>2</v>
      </c>
      <c r="C242" s="1">
        <v>45941</v>
      </c>
      <c r="D242" s="1">
        <v>45941</v>
      </c>
      <c r="E242" s="19" t="s">
        <v>86</v>
      </c>
      <c r="F242" s="19"/>
      <c r="G242" s="99" t="s">
        <v>167</v>
      </c>
      <c r="H242" s="4">
        <v>380</v>
      </c>
      <c r="I242" s="72">
        <v>241.07140000000001</v>
      </c>
      <c r="J242" s="4">
        <f>H242*I242</f>
        <v>91607.131999999998</v>
      </c>
      <c r="K242" s="4">
        <f>I242</f>
        <v>241.07140000000001</v>
      </c>
      <c r="L242" s="1">
        <f t="shared" si="131"/>
        <v>45956</v>
      </c>
      <c r="M242" s="21">
        <f t="shared" si="132"/>
        <v>91607.131999999998</v>
      </c>
      <c r="N242" s="22" t="s">
        <v>120</v>
      </c>
      <c r="O242" s="2"/>
      <c r="Q242" s="66">
        <f>0.18*P243*M242/365</f>
        <v>-2046342.7026759451</v>
      </c>
      <c r="R242" s="2"/>
      <c r="S242" s="2"/>
      <c r="T242" s="2"/>
      <c r="U242" s="2"/>
      <c r="V242" s="2"/>
      <c r="W242" s="23"/>
      <c r="Y242" s="18">
        <v>2</v>
      </c>
      <c r="Z242" s="1"/>
      <c r="AA242" s="1"/>
      <c r="AB242" s="2"/>
      <c r="AC242" s="20"/>
      <c r="AD242" s="4"/>
      <c r="AE242" s="4"/>
      <c r="AF242" s="24"/>
      <c r="AG242" s="2"/>
      <c r="AH242" s="23"/>
    </row>
    <row r="243" spans="1:34" hidden="1">
      <c r="A243" t="s">
        <v>56</v>
      </c>
      <c r="B243" s="18">
        <v>3</v>
      </c>
      <c r="C243" s="1">
        <v>45941</v>
      </c>
      <c r="D243" s="1">
        <v>45941</v>
      </c>
      <c r="E243" s="19" t="s">
        <v>86</v>
      </c>
      <c r="F243" s="19"/>
      <c r="G243" s="99" t="s">
        <v>166</v>
      </c>
      <c r="H243" s="3">
        <v>336.61</v>
      </c>
      <c r="I243" s="4">
        <v>185.97</v>
      </c>
      <c r="J243" s="4">
        <f t="shared" ref="J243:J244" si="134">H243*I243</f>
        <v>62599.361700000001</v>
      </c>
      <c r="K243" s="4">
        <f>I243</f>
        <v>185.97</v>
      </c>
      <c r="L243" s="1">
        <f t="shared" si="131"/>
        <v>45956</v>
      </c>
      <c r="M243" s="21">
        <f t="shared" si="132"/>
        <v>62599.361700000001</v>
      </c>
      <c r="N243" s="22" t="s">
        <v>120</v>
      </c>
      <c r="O243" s="2"/>
      <c r="P243" s="7">
        <f>DAYS360(L242,W242)-(1)</f>
        <v>-45297</v>
      </c>
      <c r="Q243" s="66"/>
      <c r="R243" s="2"/>
      <c r="S243" s="2"/>
      <c r="T243" s="2"/>
      <c r="U243" s="2"/>
      <c r="V243" s="2"/>
      <c r="W243" s="23"/>
      <c r="Y243" s="18"/>
      <c r="Z243" s="1"/>
      <c r="AA243" s="1"/>
      <c r="AB243" s="2"/>
      <c r="AC243" s="20"/>
      <c r="AD243" s="4"/>
      <c r="AE243" s="4"/>
      <c r="AF243" s="24"/>
      <c r="AG243" s="2"/>
      <c r="AH243" s="23"/>
    </row>
    <row r="244" spans="1:34" hidden="1">
      <c r="A244" t="s">
        <v>56</v>
      </c>
      <c r="B244" s="18">
        <v>4</v>
      </c>
      <c r="C244" s="1"/>
      <c r="D244" s="1"/>
      <c r="E244" s="19" t="s">
        <v>86</v>
      </c>
      <c r="F244" s="19">
        <v>5148</v>
      </c>
      <c r="G244" s="2" t="s">
        <v>20</v>
      </c>
      <c r="H244" s="3">
        <v>684</v>
      </c>
      <c r="I244" s="4">
        <v>175.57</v>
      </c>
      <c r="J244" s="4">
        <f t="shared" si="134"/>
        <v>120089.87999999999</v>
      </c>
      <c r="K244" s="4">
        <f>I244</f>
        <v>175.57</v>
      </c>
      <c r="L244" s="1">
        <f t="shared" si="131"/>
        <v>15</v>
      </c>
      <c r="M244" s="21">
        <f t="shared" si="132"/>
        <v>120089.87999999999</v>
      </c>
      <c r="N244" s="22" t="s">
        <v>120</v>
      </c>
      <c r="O244" s="2"/>
      <c r="P244" s="7"/>
      <c r="Q244" s="2"/>
      <c r="R244" s="2"/>
      <c r="S244" s="2"/>
      <c r="T244" s="2"/>
      <c r="U244" s="2"/>
      <c r="V244" s="2"/>
      <c r="W244" s="23"/>
      <c r="Y244" s="18"/>
      <c r="Z244" s="1"/>
      <c r="AA244" s="1"/>
      <c r="AB244" s="2"/>
      <c r="AC244" s="3"/>
      <c r="AD244" s="4"/>
      <c r="AE244" s="4"/>
      <c r="AF244" s="24"/>
      <c r="AG244" s="2"/>
      <c r="AH244" s="23"/>
    </row>
    <row r="245" spans="1:34" hidden="1">
      <c r="A245" t="s">
        <v>56</v>
      </c>
      <c r="B245" s="18">
        <v>5</v>
      </c>
      <c r="C245" s="1"/>
      <c r="D245" s="1"/>
      <c r="E245" s="19" t="s">
        <v>86</v>
      </c>
      <c r="F245" s="19" t="s">
        <v>144</v>
      </c>
      <c r="G245" s="2" t="s">
        <v>143</v>
      </c>
      <c r="H245" s="3"/>
      <c r="I245" s="4"/>
      <c r="J245" s="4"/>
      <c r="K245" s="4"/>
      <c r="L245" s="1"/>
      <c r="M245" s="21"/>
      <c r="N245" s="22"/>
      <c r="O245" s="2"/>
      <c r="P245" s="7"/>
      <c r="Q245" s="2"/>
      <c r="R245" s="2"/>
      <c r="S245" s="2"/>
      <c r="T245" s="2"/>
      <c r="U245" s="2"/>
      <c r="V245" s="2"/>
      <c r="W245" s="23"/>
      <c r="Y245" s="18"/>
      <c r="Z245" s="1"/>
      <c r="AA245" s="1"/>
      <c r="AB245" s="2"/>
      <c r="AC245" s="3"/>
      <c r="AD245" s="4"/>
      <c r="AE245" s="4"/>
      <c r="AF245" s="24"/>
      <c r="AG245" s="2"/>
      <c r="AH245" s="23"/>
    </row>
    <row r="246" spans="1:34" hidden="1">
      <c r="A246" t="s">
        <v>56</v>
      </c>
      <c r="B246" s="18"/>
      <c r="C246" s="1"/>
      <c r="D246" s="1"/>
      <c r="E246" s="19"/>
      <c r="F246" s="19"/>
      <c r="G246" s="2"/>
      <c r="H246" s="3"/>
      <c r="I246" s="4"/>
      <c r="J246" s="4"/>
      <c r="K246" s="4"/>
      <c r="L246" s="1"/>
      <c r="M246" s="21"/>
      <c r="N246" s="22"/>
      <c r="O246" s="2"/>
      <c r="P246" s="7"/>
      <c r="Q246" s="2"/>
      <c r="R246" s="2"/>
      <c r="S246" s="2"/>
      <c r="T246" s="2"/>
      <c r="U246" s="2"/>
      <c r="V246" s="2"/>
      <c r="W246" s="23"/>
      <c r="Y246" s="18"/>
      <c r="Z246" s="1"/>
      <c r="AA246" s="1"/>
      <c r="AB246" s="2"/>
      <c r="AC246" s="3"/>
      <c r="AD246" s="4"/>
      <c r="AE246" s="4"/>
      <c r="AF246" s="24"/>
      <c r="AG246" s="2"/>
      <c r="AH246" s="23"/>
    </row>
    <row r="247" spans="1:34" hidden="1">
      <c r="A247" t="s">
        <v>56</v>
      </c>
      <c r="B247" s="18"/>
      <c r="C247" s="1"/>
      <c r="D247" s="1"/>
      <c r="E247" s="19"/>
      <c r="F247" s="19"/>
      <c r="G247" s="2"/>
      <c r="H247" s="3"/>
      <c r="I247" s="4"/>
      <c r="J247" s="4"/>
      <c r="K247" s="4"/>
      <c r="L247" s="1"/>
      <c r="M247" s="21"/>
      <c r="N247" s="22"/>
      <c r="O247" s="2"/>
      <c r="P247" s="7"/>
      <c r="Q247" s="2"/>
      <c r="R247" s="2"/>
      <c r="S247" s="2"/>
      <c r="T247" s="2"/>
      <c r="U247" s="2"/>
      <c r="V247" s="2"/>
      <c r="W247" s="23"/>
      <c r="Y247" s="18"/>
      <c r="Z247" s="1"/>
      <c r="AA247" s="1"/>
      <c r="AB247" s="2"/>
      <c r="AC247" s="3"/>
      <c r="AD247" s="4"/>
      <c r="AE247" s="4"/>
      <c r="AF247" s="24"/>
      <c r="AG247" s="2"/>
      <c r="AH247" s="23"/>
    </row>
    <row r="248" spans="1:34" hidden="1">
      <c r="A248" t="s">
        <v>56</v>
      </c>
      <c r="B248" s="18"/>
      <c r="C248" s="1"/>
      <c r="D248" s="1"/>
      <c r="E248" s="19"/>
      <c r="F248" s="19"/>
      <c r="G248" s="2"/>
      <c r="H248" s="3"/>
      <c r="I248" s="4"/>
      <c r="J248" s="4"/>
      <c r="K248" s="4"/>
      <c r="L248" s="1"/>
      <c r="M248" s="24"/>
      <c r="N248" s="25"/>
      <c r="O248" s="2"/>
      <c r="P248" s="7"/>
      <c r="Q248" s="2"/>
      <c r="R248" s="2"/>
      <c r="S248" s="2"/>
      <c r="T248" s="2"/>
      <c r="U248" s="2"/>
      <c r="V248" s="2"/>
      <c r="W248" s="23"/>
      <c r="Y248" s="18"/>
      <c r="Z248" s="1"/>
      <c r="AA248" s="1"/>
      <c r="AB248" s="2"/>
      <c r="AC248" s="3"/>
      <c r="AD248" s="4"/>
      <c r="AE248" s="4"/>
      <c r="AF248" s="24"/>
      <c r="AG248" s="2"/>
      <c r="AH248" s="23"/>
    </row>
    <row r="249" spans="1:34" ht="15.75" hidden="1" thickBot="1">
      <c r="A249" t="s">
        <v>56</v>
      </c>
      <c r="B249" s="27"/>
      <c r="C249" s="28"/>
      <c r="D249" s="28"/>
      <c r="E249" s="29"/>
      <c r="F249" s="29"/>
      <c r="G249" s="30"/>
      <c r="H249" s="31"/>
      <c r="I249" s="32"/>
      <c r="J249" s="32"/>
      <c r="K249" s="32"/>
      <c r="L249" s="28"/>
      <c r="M249" s="33"/>
      <c r="N249" s="36"/>
      <c r="O249" s="30"/>
      <c r="P249" s="34"/>
      <c r="Q249" s="30"/>
      <c r="R249" s="30"/>
      <c r="S249" s="30"/>
      <c r="T249" s="30"/>
      <c r="U249" s="30"/>
      <c r="V249" s="30"/>
      <c r="W249" s="35"/>
      <c r="Y249" s="27"/>
      <c r="Z249" s="28"/>
      <c r="AA249" s="28"/>
      <c r="AB249" s="30"/>
      <c r="AC249" s="31"/>
      <c r="AD249" s="32"/>
      <c r="AE249" s="32"/>
      <c r="AF249" s="33"/>
      <c r="AG249" s="30"/>
      <c r="AH249" s="35"/>
    </row>
    <row r="250" spans="1:34" ht="15.75" hidden="1" thickBot="1">
      <c r="A250" t="s">
        <v>56</v>
      </c>
      <c r="B250" s="18"/>
      <c r="C250" s="1"/>
      <c r="D250" s="1"/>
      <c r="E250" s="2"/>
      <c r="F250" s="2"/>
      <c r="G250" s="2"/>
      <c r="H250" s="3"/>
      <c r="I250" s="4"/>
      <c r="J250" s="4"/>
      <c r="K250" s="4"/>
      <c r="L250" s="1"/>
      <c r="M250" s="33"/>
      <c r="N250" s="36"/>
      <c r="O250" s="2"/>
      <c r="P250" s="7"/>
      <c r="Q250" s="2"/>
      <c r="R250" s="2"/>
      <c r="S250" s="2"/>
      <c r="T250" s="2"/>
      <c r="U250" s="2"/>
      <c r="V250" s="2"/>
      <c r="W250" s="23"/>
      <c r="Y250" s="18"/>
      <c r="Z250" s="1"/>
      <c r="AA250" s="1"/>
      <c r="AB250" s="2"/>
      <c r="AC250" s="3"/>
      <c r="AD250" s="4"/>
      <c r="AE250" s="4"/>
      <c r="AF250" s="33"/>
      <c r="AG250" s="2"/>
      <c r="AH250" s="23"/>
    </row>
    <row r="251" spans="1:34" ht="15.75" hidden="1" thickBot="1">
      <c r="A251" t="s">
        <v>56</v>
      </c>
      <c r="B251" s="8">
        <f>(M251+T251)/H251</f>
        <v>253.99549286807917</v>
      </c>
      <c r="C251" s="9"/>
      <c r="D251" s="9"/>
      <c r="E251" s="10"/>
      <c r="F251" s="10"/>
      <c r="G251" s="10"/>
      <c r="H251" s="11">
        <f>SUM(H241:H250)</f>
        <v>1900.6100000000001</v>
      </c>
      <c r="I251" s="12"/>
      <c r="J251" s="12"/>
      <c r="K251" s="12"/>
      <c r="L251" s="9"/>
      <c r="M251" s="37">
        <f>SUM(M241:M250)</f>
        <v>482746.3737</v>
      </c>
      <c r="N251" s="38">
        <f>SUM(N241:N250)</f>
        <v>0</v>
      </c>
      <c r="O251" s="10"/>
      <c r="P251" s="39"/>
      <c r="Q251" s="10" t="e">
        <f>SUM(#REF!)</f>
        <v>#REF!</v>
      </c>
      <c r="R251" s="10"/>
      <c r="S251" s="10"/>
      <c r="T251" s="10">
        <f>SUM(T241:T250)</f>
        <v>0</v>
      </c>
      <c r="U251" s="10"/>
      <c r="V251" s="10"/>
      <c r="W251" s="17"/>
      <c r="Y251" s="8"/>
      <c r="Z251" s="9"/>
      <c r="AA251" s="9"/>
      <c r="AB251" s="10"/>
      <c r="AC251" s="11">
        <f>SUM(AC241:AC250)</f>
        <v>0</v>
      </c>
      <c r="AD251" s="12"/>
      <c r="AE251" s="12"/>
      <c r="AF251" s="37">
        <f>SUM(AF241:AF250)</f>
        <v>0</v>
      </c>
      <c r="AG251" s="10"/>
      <c r="AH251" s="17"/>
    </row>
    <row r="253" spans="1:34" ht="15.75" thickBot="1"/>
    <row r="254" spans="1:34" ht="15.75" thickBot="1">
      <c r="A254" s="67"/>
      <c r="B254" s="68"/>
      <c r="C254" s="68"/>
      <c r="D254" s="68"/>
      <c r="E254" s="68"/>
      <c r="F254" s="68"/>
      <c r="G254" s="68"/>
      <c r="H254" s="12">
        <f>SUBTOTAL(9,H5:H109)+SUBTOTAL(9,H115:H235)+SUBTOTAL(9,H241:H249)</f>
        <v>25542.439999999995</v>
      </c>
      <c r="I254" s="10">
        <f>J254/H254</f>
        <v>258.73299412800827</v>
      </c>
      <c r="J254" s="12">
        <f>SUBTOTAL(9,J5:J109)+SUBTOTAL(9,J115:J235)+SUBTOTAL(9,J241:J249)</f>
        <v>6608671.9785350021</v>
      </c>
      <c r="K254" s="68"/>
      <c r="L254" s="68"/>
      <c r="M254" s="70">
        <f>SUM(M110+M236+M251)</f>
        <v>27452027.828144778</v>
      </c>
      <c r="N254" s="68"/>
      <c r="O254" s="68"/>
      <c r="P254" s="68"/>
      <c r="Q254" s="68"/>
      <c r="R254" s="68"/>
      <c r="S254" s="68"/>
      <c r="T254" s="68"/>
      <c r="U254" s="68"/>
      <c r="V254" s="68"/>
      <c r="W254" s="69"/>
    </row>
  </sheetData>
  <autoFilter ref="A2:AH251">
    <filterColumn colId="1" showButton="0"/>
    <filterColumn colId="4">
      <filters>
        <filter val="SHREE RAM YARN TRADING CO"/>
      </filters>
    </filterColumn>
    <filterColumn colId="6"/>
    <filterColumn colId="8"/>
    <filterColumn colId="24" showButton="0"/>
  </autoFilter>
  <mergeCells count="12">
    <mergeCell ref="B238:C238"/>
    <mergeCell ref="Y238:Z238"/>
    <mergeCell ref="B239:C239"/>
    <mergeCell ref="Y239:Z239"/>
    <mergeCell ref="Y2:Z2"/>
    <mergeCell ref="B2:C2"/>
    <mergeCell ref="B112:C112"/>
    <mergeCell ref="Y112:Z112"/>
    <mergeCell ref="Y113:Z113"/>
    <mergeCell ref="B3:C3"/>
    <mergeCell ref="B113:C113"/>
    <mergeCell ref="Y3:Z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>
      <selection activeCell="D32" sqref="D32:D33"/>
    </sheetView>
  </sheetViews>
  <sheetFormatPr defaultRowHeight="15"/>
  <cols>
    <col min="2" max="2" width="12.28515625" customWidth="1"/>
    <col min="3" max="3" width="14.140625" bestFit="1" customWidth="1"/>
    <col min="4" max="4" width="25.140625" style="132" bestFit="1" customWidth="1"/>
    <col min="5" max="5" width="11.85546875" bestFit="1" customWidth="1"/>
    <col min="6" max="6" width="23.7109375" bestFit="1" customWidth="1"/>
    <col min="7" max="7" width="11.42578125" bestFit="1" customWidth="1"/>
    <col min="8" max="8" width="7.7109375" customWidth="1"/>
    <col min="9" max="9" width="10.7109375" bestFit="1" customWidth="1"/>
    <col min="10" max="10" width="14.140625" bestFit="1" customWidth="1"/>
    <col min="11" max="11" width="11.85546875" bestFit="1" customWidth="1"/>
    <col min="12" max="12" width="10.5703125" bestFit="1" customWidth="1"/>
    <col min="13" max="13" width="9.5703125" bestFit="1" customWidth="1"/>
    <col min="15" max="15" width="10.42578125" style="123" bestFit="1" customWidth="1"/>
  </cols>
  <sheetData>
    <row r="1" spans="1:16" ht="15.75" thickBot="1"/>
    <row r="2" spans="1:16" ht="15.75" thickBot="1">
      <c r="A2" s="8" t="s">
        <v>0</v>
      </c>
      <c r="B2" s="9" t="s">
        <v>1</v>
      </c>
      <c r="C2" s="9" t="s">
        <v>2</v>
      </c>
      <c r="D2" s="10" t="s">
        <v>188</v>
      </c>
      <c r="E2" s="10" t="s">
        <v>187</v>
      </c>
      <c r="F2" s="101" t="s">
        <v>189</v>
      </c>
      <c r="G2" s="11" t="s">
        <v>190</v>
      </c>
      <c r="H2" s="12" t="s">
        <v>7</v>
      </c>
      <c r="I2" s="10" t="s">
        <v>8</v>
      </c>
      <c r="J2" s="10" t="s">
        <v>9</v>
      </c>
      <c r="K2" s="102" t="s">
        <v>10</v>
      </c>
      <c r="L2" s="14" t="s">
        <v>11</v>
      </c>
      <c r="M2" t="s">
        <v>260</v>
      </c>
      <c r="O2" s="123" t="s">
        <v>18</v>
      </c>
    </row>
    <row r="3" spans="1:16">
      <c r="A3" s="2">
        <v>1</v>
      </c>
      <c r="B3" s="1">
        <v>46103</v>
      </c>
      <c r="C3" s="1">
        <v>46103</v>
      </c>
      <c r="D3" s="2" t="s">
        <v>209</v>
      </c>
      <c r="E3" s="2">
        <v>35</v>
      </c>
      <c r="F3" s="103" t="s">
        <v>210</v>
      </c>
      <c r="G3" s="112">
        <v>4513</v>
      </c>
      <c r="H3" s="4">
        <v>14.56</v>
      </c>
      <c r="I3" s="4">
        <f>H3*1.05</f>
        <v>15.288000000000002</v>
      </c>
      <c r="J3" s="2"/>
      <c r="K3" s="104">
        <f t="shared" ref="K3:K38" si="0">G3*I3</f>
        <v>68994.744000000006</v>
      </c>
      <c r="L3" s="106"/>
      <c r="M3" s="124">
        <f>K3-((G3*H3)*0.02)</f>
        <v>67680.558400000009</v>
      </c>
      <c r="O3" s="123">
        <v>46156</v>
      </c>
    </row>
    <row r="4" spans="1:16">
      <c r="A4" s="2">
        <v>2</v>
      </c>
      <c r="B4" s="1">
        <v>46107</v>
      </c>
      <c r="C4" s="1">
        <v>46107</v>
      </c>
      <c r="D4" s="2" t="s">
        <v>211</v>
      </c>
      <c r="E4" s="2">
        <v>69</v>
      </c>
      <c r="F4" s="103" t="s">
        <v>298</v>
      </c>
      <c r="G4" s="112">
        <v>7925</v>
      </c>
      <c r="H4" s="4">
        <v>13.68</v>
      </c>
      <c r="I4" s="4">
        <f>H4*1.05</f>
        <v>14.364000000000001</v>
      </c>
      <c r="J4" s="2"/>
      <c r="K4" s="104">
        <f t="shared" si="0"/>
        <v>113834.70000000001</v>
      </c>
      <c r="L4" s="106"/>
      <c r="M4" s="124">
        <f>K4-((G4*H4)*0.02)</f>
        <v>111666.42000000001</v>
      </c>
      <c r="O4" s="123">
        <v>46156</v>
      </c>
    </row>
    <row r="5" spans="1:16">
      <c r="A5" s="2">
        <v>3</v>
      </c>
      <c r="B5" s="1">
        <v>46119</v>
      </c>
      <c r="C5" s="1">
        <v>46119</v>
      </c>
      <c r="D5" s="2" t="s">
        <v>211</v>
      </c>
      <c r="E5" s="2">
        <v>55</v>
      </c>
      <c r="F5" s="103" t="s">
        <v>298</v>
      </c>
      <c r="G5" s="112">
        <v>8032</v>
      </c>
      <c r="H5" s="4">
        <v>13.68</v>
      </c>
      <c r="I5" s="4">
        <f t="shared" ref="I5:I38" si="1">H5*1.05</f>
        <v>14.364000000000001</v>
      </c>
      <c r="J5" s="2"/>
      <c r="K5" s="104">
        <f t="shared" si="0"/>
        <v>115371.648</v>
      </c>
      <c r="L5" s="106"/>
      <c r="M5" s="6">
        <f t="shared" ref="M5:M38" si="2">K5-((G5*H5)*0.02)</f>
        <v>113174.0928</v>
      </c>
    </row>
    <row r="6" spans="1:16">
      <c r="A6" s="2">
        <v>4</v>
      </c>
      <c r="B6" s="1">
        <v>46114</v>
      </c>
      <c r="C6" s="1">
        <v>46114</v>
      </c>
      <c r="D6" s="2" t="s">
        <v>209</v>
      </c>
      <c r="E6" s="2">
        <v>11</v>
      </c>
      <c r="F6" s="103" t="s">
        <v>210</v>
      </c>
      <c r="G6" s="112">
        <v>1603</v>
      </c>
      <c r="H6" s="4">
        <v>14.56</v>
      </c>
      <c r="I6" s="4">
        <f t="shared" si="1"/>
        <v>15.288000000000002</v>
      </c>
      <c r="J6" s="2"/>
      <c r="K6" s="104">
        <f t="shared" si="0"/>
        <v>24506.664000000004</v>
      </c>
      <c r="L6" s="106"/>
      <c r="M6" s="124">
        <f t="shared" si="2"/>
        <v>24039.870400000003</v>
      </c>
      <c r="O6" s="123">
        <v>46156</v>
      </c>
      <c r="P6" t="s">
        <v>300</v>
      </c>
    </row>
    <row r="7" spans="1:16">
      <c r="A7" s="2">
        <v>5</v>
      </c>
      <c r="B7" s="1">
        <v>46114</v>
      </c>
      <c r="C7" s="1">
        <v>46114</v>
      </c>
      <c r="D7" s="2" t="s">
        <v>209</v>
      </c>
      <c r="E7" s="2">
        <v>11</v>
      </c>
      <c r="F7" s="103" t="s">
        <v>210</v>
      </c>
      <c r="G7" s="112">
        <v>1604</v>
      </c>
      <c r="H7" s="4">
        <v>14.56</v>
      </c>
      <c r="I7" s="4">
        <f t="shared" si="1"/>
        <v>15.288000000000002</v>
      </c>
      <c r="J7" s="2"/>
      <c r="K7" s="104">
        <f t="shared" si="0"/>
        <v>24521.952000000005</v>
      </c>
      <c r="L7" s="106"/>
      <c r="M7" s="124">
        <f t="shared" si="2"/>
        <v>24054.867200000004</v>
      </c>
      <c r="O7" s="123">
        <v>46156</v>
      </c>
      <c r="P7" t="s">
        <v>301</v>
      </c>
    </row>
    <row r="8" spans="1:16">
      <c r="A8" s="2">
        <v>6</v>
      </c>
      <c r="B8" s="1">
        <v>46114</v>
      </c>
      <c r="C8" s="1">
        <v>46114</v>
      </c>
      <c r="D8" s="2" t="s">
        <v>209</v>
      </c>
      <c r="E8" s="2">
        <v>11</v>
      </c>
      <c r="F8" s="103" t="s">
        <v>210</v>
      </c>
      <c r="G8" s="112">
        <v>1612</v>
      </c>
      <c r="H8" s="4">
        <v>14.56</v>
      </c>
      <c r="I8" s="4">
        <f t="shared" si="1"/>
        <v>15.288000000000002</v>
      </c>
      <c r="J8" s="2"/>
      <c r="K8" s="104">
        <f t="shared" si="0"/>
        <v>24644.256000000005</v>
      </c>
      <c r="L8" s="106"/>
      <c r="M8" s="124">
        <f t="shared" si="2"/>
        <v>24174.841600000003</v>
      </c>
      <c r="O8" s="123">
        <v>46156</v>
      </c>
      <c r="P8" t="s">
        <v>302</v>
      </c>
    </row>
    <row r="9" spans="1:16">
      <c r="A9" s="2">
        <v>7</v>
      </c>
      <c r="B9" s="1">
        <v>46114</v>
      </c>
      <c r="C9" s="1">
        <v>46114</v>
      </c>
      <c r="D9" s="2" t="s">
        <v>209</v>
      </c>
      <c r="E9" s="2">
        <v>5</v>
      </c>
      <c r="F9" s="103" t="s">
        <v>210</v>
      </c>
      <c r="G9" s="112">
        <v>684</v>
      </c>
      <c r="H9" s="4">
        <v>14.56</v>
      </c>
      <c r="I9" s="4">
        <f t="shared" si="1"/>
        <v>15.288000000000002</v>
      </c>
      <c r="J9" s="2"/>
      <c r="K9" s="104">
        <f t="shared" si="0"/>
        <v>10456.992000000002</v>
      </c>
      <c r="L9" s="106"/>
      <c r="M9" s="124">
        <f t="shared" si="2"/>
        <v>10257.811200000002</v>
      </c>
      <c r="O9" s="123">
        <v>46156</v>
      </c>
      <c r="P9" t="s">
        <v>303</v>
      </c>
    </row>
    <row r="10" spans="1:16">
      <c r="A10" s="2">
        <v>8</v>
      </c>
      <c r="B10" s="1">
        <v>46120</v>
      </c>
      <c r="C10" s="1">
        <v>46120</v>
      </c>
      <c r="D10" s="2" t="s">
        <v>209</v>
      </c>
      <c r="E10" s="2">
        <v>17</v>
      </c>
      <c r="F10" s="103" t="s">
        <v>210</v>
      </c>
      <c r="G10" s="112">
        <v>2522</v>
      </c>
      <c r="H10" s="4">
        <v>14.56</v>
      </c>
      <c r="I10" s="4">
        <f t="shared" si="1"/>
        <v>15.288000000000002</v>
      </c>
      <c r="J10" s="2"/>
      <c r="K10" s="104">
        <f t="shared" si="0"/>
        <v>38556.336000000003</v>
      </c>
      <c r="L10" s="106"/>
      <c r="M10" s="124">
        <f t="shared" si="2"/>
        <v>37821.929600000003</v>
      </c>
      <c r="O10" s="123">
        <v>46156</v>
      </c>
      <c r="P10" t="s">
        <v>304</v>
      </c>
    </row>
    <row r="11" spans="1:16">
      <c r="A11" s="2">
        <v>9</v>
      </c>
      <c r="B11" s="1">
        <v>46120</v>
      </c>
      <c r="C11" s="1">
        <v>46120</v>
      </c>
      <c r="D11" s="2" t="s">
        <v>209</v>
      </c>
      <c r="E11" s="2">
        <v>15</v>
      </c>
      <c r="F11" s="103" t="s">
        <v>210</v>
      </c>
      <c r="G11" s="112">
        <v>2534</v>
      </c>
      <c r="H11" s="4">
        <v>14.56</v>
      </c>
      <c r="I11" s="4">
        <f t="shared" si="1"/>
        <v>15.288000000000002</v>
      </c>
      <c r="J11" s="2"/>
      <c r="K11" s="104">
        <f t="shared" si="0"/>
        <v>38739.792000000009</v>
      </c>
      <c r="L11" s="106"/>
      <c r="M11" s="124">
        <f t="shared" si="2"/>
        <v>38001.891200000005</v>
      </c>
      <c r="O11" s="123">
        <v>46156</v>
      </c>
      <c r="P11" t="s">
        <v>305</v>
      </c>
    </row>
    <row r="12" spans="1:16">
      <c r="A12" s="2">
        <v>10</v>
      </c>
      <c r="B12" s="1">
        <v>46120</v>
      </c>
      <c r="C12" s="1">
        <v>46120</v>
      </c>
      <c r="D12" s="2" t="s">
        <v>209</v>
      </c>
      <c r="E12" s="2">
        <v>17</v>
      </c>
      <c r="F12" s="103" t="s">
        <v>210</v>
      </c>
      <c r="G12" s="112">
        <v>2515</v>
      </c>
      <c r="H12" s="4">
        <v>14.56</v>
      </c>
      <c r="I12" s="4">
        <f t="shared" si="1"/>
        <v>15.288000000000002</v>
      </c>
      <c r="J12" s="2"/>
      <c r="K12" s="104">
        <f t="shared" si="0"/>
        <v>38449.320000000007</v>
      </c>
      <c r="L12" s="106"/>
      <c r="M12" s="124">
        <f t="shared" si="2"/>
        <v>37716.952000000005</v>
      </c>
      <c r="O12" s="123">
        <v>46156</v>
      </c>
      <c r="P12" t="s">
        <v>306</v>
      </c>
    </row>
    <row r="13" spans="1:16">
      <c r="A13" s="2">
        <v>11</v>
      </c>
      <c r="B13" s="1">
        <v>46126</v>
      </c>
      <c r="C13" s="1">
        <v>46126</v>
      </c>
      <c r="D13" s="2" t="s">
        <v>209</v>
      </c>
      <c r="E13" s="2">
        <v>13</v>
      </c>
      <c r="F13" s="103" t="s">
        <v>210</v>
      </c>
      <c r="G13" s="112">
        <v>1827</v>
      </c>
      <c r="H13" s="4">
        <v>14.56</v>
      </c>
      <c r="I13" s="4">
        <f t="shared" si="1"/>
        <v>15.288000000000002</v>
      </c>
      <c r="J13" s="2"/>
      <c r="K13" s="104">
        <f t="shared" si="0"/>
        <v>27931.176000000003</v>
      </c>
      <c r="L13" s="106"/>
      <c r="M13" s="124">
        <f t="shared" si="2"/>
        <v>27399.153600000001</v>
      </c>
      <c r="O13" s="123">
        <v>46172</v>
      </c>
      <c r="P13" t="s">
        <v>307</v>
      </c>
    </row>
    <row r="14" spans="1:16">
      <c r="A14" s="2">
        <v>12</v>
      </c>
      <c r="B14" s="1">
        <v>46126</v>
      </c>
      <c r="C14" s="1">
        <v>46126</v>
      </c>
      <c r="D14" s="2" t="s">
        <v>209</v>
      </c>
      <c r="E14" s="2">
        <v>13</v>
      </c>
      <c r="F14" s="103" t="s">
        <v>210</v>
      </c>
      <c r="G14" s="112">
        <v>1830</v>
      </c>
      <c r="H14" s="4">
        <v>14.56</v>
      </c>
      <c r="I14" s="4">
        <f t="shared" si="1"/>
        <v>15.288000000000002</v>
      </c>
      <c r="J14" s="2"/>
      <c r="K14" s="104">
        <f t="shared" si="0"/>
        <v>27977.040000000005</v>
      </c>
      <c r="L14" s="106"/>
      <c r="M14" s="124">
        <f t="shared" si="2"/>
        <v>27444.144000000004</v>
      </c>
      <c r="O14" s="123">
        <v>46172</v>
      </c>
      <c r="P14" t="s">
        <v>308</v>
      </c>
    </row>
    <row r="15" spans="1:16">
      <c r="A15" s="2">
        <v>13</v>
      </c>
      <c r="B15" s="1">
        <v>46126</v>
      </c>
      <c r="C15" s="1">
        <v>46126</v>
      </c>
      <c r="D15" s="2" t="s">
        <v>209</v>
      </c>
      <c r="E15" s="2">
        <v>12</v>
      </c>
      <c r="F15" s="103" t="s">
        <v>210</v>
      </c>
      <c r="G15" s="112">
        <v>1808</v>
      </c>
      <c r="H15" s="4">
        <v>14.56</v>
      </c>
      <c r="I15" s="4">
        <f t="shared" si="1"/>
        <v>15.288000000000002</v>
      </c>
      <c r="J15" s="2"/>
      <c r="K15" s="104">
        <f t="shared" si="0"/>
        <v>27640.704000000005</v>
      </c>
      <c r="L15" s="106"/>
      <c r="M15" s="124">
        <f t="shared" si="2"/>
        <v>27114.214400000004</v>
      </c>
      <c r="O15" s="123">
        <v>46172</v>
      </c>
      <c r="P15" t="s">
        <v>309</v>
      </c>
    </row>
    <row r="16" spans="1:16">
      <c r="A16" s="2">
        <v>14</v>
      </c>
      <c r="B16" s="1">
        <v>46127</v>
      </c>
      <c r="C16" s="1">
        <v>46127</v>
      </c>
      <c r="D16" s="2" t="s">
        <v>211</v>
      </c>
      <c r="E16" s="2">
        <v>8</v>
      </c>
      <c r="F16" s="103" t="s">
        <v>298</v>
      </c>
      <c r="G16" s="112">
        <v>1309</v>
      </c>
      <c r="H16" s="4">
        <v>14.16</v>
      </c>
      <c r="I16" s="4">
        <f t="shared" si="1"/>
        <v>14.868</v>
      </c>
      <c r="J16" s="2"/>
      <c r="K16" s="104">
        <f t="shared" si="0"/>
        <v>19462.212</v>
      </c>
      <c r="L16" s="106"/>
      <c r="M16" s="6">
        <f t="shared" si="2"/>
        <v>19091.503199999999</v>
      </c>
    </row>
    <row r="17" spans="1:16">
      <c r="A17" s="2">
        <v>15</v>
      </c>
      <c r="B17" s="1">
        <v>46127</v>
      </c>
      <c r="C17" s="1">
        <v>46127</v>
      </c>
      <c r="D17" s="2" t="s">
        <v>211</v>
      </c>
      <c r="E17" s="2">
        <v>21</v>
      </c>
      <c r="F17" s="103" t="s">
        <v>298</v>
      </c>
      <c r="G17" s="112">
        <v>3524</v>
      </c>
      <c r="H17" s="4">
        <v>13.68</v>
      </c>
      <c r="I17" s="4">
        <f t="shared" si="1"/>
        <v>14.364000000000001</v>
      </c>
      <c r="J17" s="2"/>
      <c r="K17" s="104">
        <f t="shared" si="0"/>
        <v>50618.736000000004</v>
      </c>
      <c r="L17" s="106"/>
      <c r="M17" s="6">
        <f t="shared" si="2"/>
        <v>49654.569600000003</v>
      </c>
    </row>
    <row r="18" spans="1:16">
      <c r="A18" s="2">
        <v>16</v>
      </c>
      <c r="B18" s="1">
        <v>46131</v>
      </c>
      <c r="C18" s="110">
        <v>46131</v>
      </c>
      <c r="D18" s="2" t="s">
        <v>209</v>
      </c>
      <c r="E18" s="19">
        <v>16</v>
      </c>
      <c r="F18" s="103" t="s">
        <v>210</v>
      </c>
      <c r="G18" s="112">
        <v>2400</v>
      </c>
      <c r="H18" s="111">
        <v>14.56</v>
      </c>
      <c r="I18" s="4">
        <f t="shared" si="1"/>
        <v>15.288000000000002</v>
      </c>
      <c r="K18" s="104">
        <f t="shared" si="0"/>
        <v>36691.200000000004</v>
      </c>
      <c r="L18" s="106"/>
      <c r="M18" s="124">
        <f t="shared" si="2"/>
        <v>35992.320000000007</v>
      </c>
      <c r="O18" s="123">
        <v>46172</v>
      </c>
      <c r="P18" t="s">
        <v>310</v>
      </c>
    </row>
    <row r="19" spans="1:16">
      <c r="A19" s="2">
        <v>17</v>
      </c>
      <c r="B19" s="1">
        <v>46131</v>
      </c>
      <c r="C19" s="1">
        <v>46131</v>
      </c>
      <c r="D19" s="2" t="s">
        <v>209</v>
      </c>
      <c r="E19" s="2">
        <v>18</v>
      </c>
      <c r="F19" s="103" t="s">
        <v>210</v>
      </c>
      <c r="G19" s="112">
        <v>2404</v>
      </c>
      <c r="H19" s="4">
        <v>14.56</v>
      </c>
      <c r="I19" s="4">
        <f t="shared" si="1"/>
        <v>15.288000000000002</v>
      </c>
      <c r="J19" s="2"/>
      <c r="K19" s="104">
        <f t="shared" si="0"/>
        <v>36752.352000000006</v>
      </c>
      <c r="L19" s="106"/>
      <c r="M19" s="124">
        <f t="shared" si="2"/>
        <v>36052.307200000003</v>
      </c>
      <c r="O19" s="123">
        <v>46172</v>
      </c>
      <c r="P19" t="s">
        <v>311</v>
      </c>
    </row>
    <row r="20" spans="1:16">
      <c r="A20" s="2">
        <v>18</v>
      </c>
      <c r="B20" s="1">
        <v>46131</v>
      </c>
      <c r="C20" s="1">
        <v>46131</v>
      </c>
      <c r="D20" s="2" t="s">
        <v>209</v>
      </c>
      <c r="E20" s="2">
        <v>9</v>
      </c>
      <c r="F20" s="103" t="s">
        <v>210</v>
      </c>
      <c r="G20" s="112">
        <v>1303</v>
      </c>
      <c r="H20" s="4">
        <v>14.56</v>
      </c>
      <c r="I20" s="4">
        <f t="shared" si="1"/>
        <v>15.288000000000002</v>
      </c>
      <c r="J20" s="2"/>
      <c r="K20" s="104">
        <f t="shared" si="0"/>
        <v>19920.264000000003</v>
      </c>
      <c r="L20" s="106"/>
      <c r="M20" s="124">
        <f t="shared" si="2"/>
        <v>19540.830400000003</v>
      </c>
      <c r="O20" s="123">
        <v>46172</v>
      </c>
      <c r="P20" t="s">
        <v>312</v>
      </c>
    </row>
    <row r="21" spans="1:16">
      <c r="A21" s="2">
        <v>19</v>
      </c>
      <c r="B21" s="1">
        <v>46137</v>
      </c>
      <c r="C21" s="1">
        <v>46137</v>
      </c>
      <c r="D21" s="2" t="s">
        <v>209</v>
      </c>
      <c r="E21" s="2">
        <v>17</v>
      </c>
      <c r="F21" s="103" t="s">
        <v>210</v>
      </c>
      <c r="G21" s="3">
        <v>2503</v>
      </c>
      <c r="H21" s="4">
        <v>14.56</v>
      </c>
      <c r="I21" s="4">
        <f t="shared" si="1"/>
        <v>15.288000000000002</v>
      </c>
      <c r="J21" s="2"/>
      <c r="K21" s="104">
        <f t="shared" si="0"/>
        <v>38265.864000000009</v>
      </c>
      <c r="L21" s="106"/>
      <c r="M21" s="124">
        <f t="shared" si="2"/>
        <v>37536.99040000001</v>
      </c>
      <c r="O21" s="123">
        <v>46172</v>
      </c>
      <c r="P21" t="s">
        <v>313</v>
      </c>
    </row>
    <row r="22" spans="1:16">
      <c r="A22" s="2">
        <v>20</v>
      </c>
      <c r="B22" s="1">
        <v>46141</v>
      </c>
      <c r="C22" s="1">
        <v>46141</v>
      </c>
      <c r="D22" s="2" t="s">
        <v>209</v>
      </c>
      <c r="E22" s="2">
        <v>19</v>
      </c>
      <c r="F22" s="103" t="s">
        <v>210</v>
      </c>
      <c r="G22" s="3">
        <v>2508</v>
      </c>
      <c r="H22" s="4">
        <v>14.56</v>
      </c>
      <c r="I22" s="4">
        <f t="shared" si="1"/>
        <v>15.288000000000002</v>
      </c>
      <c r="J22" s="2"/>
      <c r="K22" s="104">
        <f t="shared" si="0"/>
        <v>38342.304000000004</v>
      </c>
      <c r="L22" s="106"/>
      <c r="M22" s="124">
        <f t="shared" si="2"/>
        <v>37611.974400000006</v>
      </c>
      <c r="O22" s="123">
        <v>46172</v>
      </c>
      <c r="P22" t="s">
        <v>314</v>
      </c>
    </row>
    <row r="23" spans="1:16">
      <c r="A23" s="2">
        <v>21</v>
      </c>
      <c r="B23" s="115">
        <v>46146</v>
      </c>
      <c r="C23" s="115">
        <v>46146</v>
      </c>
      <c r="D23" s="138" t="s">
        <v>211</v>
      </c>
      <c r="E23" s="130"/>
      <c r="F23" s="103" t="s">
        <v>298</v>
      </c>
      <c r="G23" s="117">
        <v>6519</v>
      </c>
      <c r="H23" s="118">
        <v>14.16</v>
      </c>
      <c r="I23" s="126">
        <f t="shared" si="1"/>
        <v>14.868</v>
      </c>
      <c r="J23" s="2"/>
      <c r="K23" s="104">
        <f t="shared" si="0"/>
        <v>96924.491999999998</v>
      </c>
      <c r="L23" s="106"/>
      <c r="M23" s="6">
        <f t="shared" si="2"/>
        <v>95078.311199999996</v>
      </c>
    </row>
    <row r="24" spans="1:16">
      <c r="A24" s="2">
        <v>22</v>
      </c>
      <c r="B24" s="115">
        <v>46146</v>
      </c>
      <c r="C24" s="115">
        <v>46146</v>
      </c>
      <c r="D24" s="138" t="s">
        <v>211</v>
      </c>
      <c r="E24" s="130"/>
      <c r="F24" s="103" t="s">
        <v>298</v>
      </c>
      <c r="G24" s="117">
        <v>5767</v>
      </c>
      <c r="H24" s="118">
        <v>14.16</v>
      </c>
      <c r="I24" s="126">
        <f t="shared" si="1"/>
        <v>14.868</v>
      </c>
      <c r="J24" s="2"/>
      <c r="K24" s="104">
        <f t="shared" si="0"/>
        <v>85743.756000000008</v>
      </c>
      <c r="L24" s="106"/>
      <c r="M24" s="6">
        <f t="shared" si="2"/>
        <v>84110.541600000011</v>
      </c>
    </row>
    <row r="25" spans="1:16">
      <c r="A25" s="2">
        <v>23</v>
      </c>
      <c r="B25" s="115">
        <v>46149</v>
      </c>
      <c r="C25" s="115">
        <v>46149</v>
      </c>
      <c r="D25" s="2" t="s">
        <v>209</v>
      </c>
      <c r="E25" s="130"/>
      <c r="F25" s="137" t="s">
        <v>210</v>
      </c>
      <c r="G25" s="145">
        <v>2504</v>
      </c>
      <c r="H25" s="146">
        <v>14.56</v>
      </c>
      <c r="I25" s="126">
        <f t="shared" si="1"/>
        <v>15.288000000000002</v>
      </c>
      <c r="J25" s="2"/>
      <c r="K25" s="104">
        <f t="shared" si="0"/>
        <v>38281.152000000002</v>
      </c>
      <c r="L25" s="106"/>
      <c r="M25" s="124">
        <f t="shared" si="2"/>
        <v>37551.987200000003</v>
      </c>
      <c r="O25" s="123">
        <v>46172</v>
      </c>
    </row>
    <row r="26" spans="1:16">
      <c r="A26" s="2">
        <v>24</v>
      </c>
      <c r="B26" s="115">
        <v>46157</v>
      </c>
      <c r="C26" s="115">
        <v>46157</v>
      </c>
      <c r="D26" s="138" t="s">
        <v>211</v>
      </c>
      <c r="E26" s="2" t="s">
        <v>286</v>
      </c>
      <c r="F26" s="103" t="s">
        <v>299</v>
      </c>
      <c r="G26" s="117">
        <v>3942</v>
      </c>
      <c r="H26" s="118">
        <v>14.16</v>
      </c>
      <c r="I26" s="126">
        <f t="shared" si="1"/>
        <v>14.868</v>
      </c>
      <c r="J26" s="2"/>
      <c r="K26" s="104">
        <f t="shared" si="0"/>
        <v>58609.656000000003</v>
      </c>
      <c r="L26" s="106"/>
      <c r="M26" s="6">
        <f t="shared" si="2"/>
        <v>57493.281600000002</v>
      </c>
    </row>
    <row r="27" spans="1:16">
      <c r="A27" s="2">
        <v>25</v>
      </c>
      <c r="B27" s="115">
        <v>46157</v>
      </c>
      <c r="C27" s="115">
        <v>46157</v>
      </c>
      <c r="D27" s="138" t="s">
        <v>211</v>
      </c>
      <c r="E27" s="2" t="s">
        <v>286</v>
      </c>
      <c r="F27" s="103" t="s">
        <v>299</v>
      </c>
      <c r="G27" s="117">
        <v>1801</v>
      </c>
      <c r="H27" s="118">
        <v>14.16</v>
      </c>
      <c r="I27" s="126">
        <f t="shared" si="1"/>
        <v>14.868</v>
      </c>
      <c r="J27" s="2"/>
      <c r="K27" s="104">
        <f t="shared" si="0"/>
        <v>26777.268</v>
      </c>
      <c r="L27" s="106"/>
      <c r="M27" s="6">
        <f t="shared" si="2"/>
        <v>26267.2248</v>
      </c>
    </row>
    <row r="28" spans="1:16">
      <c r="A28" s="2">
        <v>26</v>
      </c>
      <c r="B28" s="115">
        <v>46159</v>
      </c>
      <c r="C28" s="115">
        <v>46159</v>
      </c>
      <c r="D28" s="2" t="s">
        <v>209</v>
      </c>
      <c r="E28" s="130"/>
      <c r="F28" s="137" t="s">
        <v>210</v>
      </c>
      <c r="G28" s="145">
        <v>2501</v>
      </c>
      <c r="H28" s="146">
        <v>14.56</v>
      </c>
      <c r="I28" s="126">
        <f t="shared" si="1"/>
        <v>15.288000000000002</v>
      </c>
      <c r="J28" s="2"/>
      <c r="K28" s="104">
        <f t="shared" si="0"/>
        <v>38235.288000000008</v>
      </c>
      <c r="L28" s="106"/>
      <c r="M28" s="6">
        <f t="shared" si="2"/>
        <v>37506.996800000008</v>
      </c>
    </row>
    <row r="29" spans="1:16">
      <c r="A29" s="2">
        <v>27</v>
      </c>
      <c r="B29" s="115">
        <v>46164</v>
      </c>
      <c r="C29" s="115">
        <v>46164</v>
      </c>
      <c r="D29" s="2" t="s">
        <v>209</v>
      </c>
      <c r="E29" s="130"/>
      <c r="F29" s="137" t="s">
        <v>210</v>
      </c>
      <c r="G29" s="145">
        <v>2504</v>
      </c>
      <c r="H29" s="146">
        <v>14.56</v>
      </c>
      <c r="I29" s="126">
        <f t="shared" si="1"/>
        <v>15.288000000000002</v>
      </c>
      <c r="J29" s="2"/>
      <c r="K29" s="104">
        <f t="shared" si="0"/>
        <v>38281.152000000002</v>
      </c>
      <c r="L29" s="106"/>
      <c r="M29" s="6">
        <f t="shared" si="2"/>
        <v>37551.987200000003</v>
      </c>
    </row>
    <row r="30" spans="1:16">
      <c r="A30" s="2">
        <v>28</v>
      </c>
      <c r="B30" s="115">
        <v>46164</v>
      </c>
      <c r="C30" s="115">
        <v>46164</v>
      </c>
      <c r="D30" s="2" t="s">
        <v>209</v>
      </c>
      <c r="E30" s="130"/>
      <c r="F30" s="137" t="s">
        <v>210</v>
      </c>
      <c r="G30" s="145">
        <v>2505</v>
      </c>
      <c r="H30" s="146">
        <v>14.56</v>
      </c>
      <c r="I30" s="126">
        <f t="shared" si="1"/>
        <v>15.288000000000002</v>
      </c>
      <c r="J30" s="2"/>
      <c r="K30" s="104">
        <f t="shared" si="0"/>
        <v>38296.44</v>
      </c>
      <c r="L30" s="106"/>
      <c r="M30" s="6">
        <f t="shared" si="2"/>
        <v>37566.984000000004</v>
      </c>
    </row>
    <row r="31" spans="1:16">
      <c r="A31" s="2">
        <v>29</v>
      </c>
      <c r="B31" s="115">
        <v>46165</v>
      </c>
      <c r="C31" s="115">
        <v>46165</v>
      </c>
      <c r="D31" s="2" t="s">
        <v>209</v>
      </c>
      <c r="E31" s="130"/>
      <c r="F31" s="137" t="s">
        <v>210</v>
      </c>
      <c r="G31" s="145">
        <v>2521</v>
      </c>
      <c r="H31" s="146">
        <v>14.56</v>
      </c>
      <c r="I31" s="126">
        <f t="shared" si="1"/>
        <v>15.288000000000002</v>
      </c>
      <c r="J31" s="2"/>
      <c r="K31" s="104">
        <f t="shared" si="0"/>
        <v>38541.048000000003</v>
      </c>
      <c r="L31" s="106"/>
      <c r="M31" s="6">
        <f t="shared" si="2"/>
        <v>37806.932800000002</v>
      </c>
    </row>
    <row r="32" spans="1:16">
      <c r="A32" s="2">
        <v>30</v>
      </c>
      <c r="B32" s="1">
        <v>46170</v>
      </c>
      <c r="C32" s="113">
        <v>46170</v>
      </c>
      <c r="D32" s="138" t="s">
        <v>211</v>
      </c>
      <c r="E32" s="2" t="s">
        <v>286</v>
      </c>
      <c r="F32" s="103" t="s">
        <v>299</v>
      </c>
      <c r="G32" s="142">
        <v>5834</v>
      </c>
      <c r="H32" s="143">
        <v>14.16</v>
      </c>
      <c r="I32" s="126">
        <f t="shared" si="1"/>
        <v>14.868</v>
      </c>
      <c r="J32" s="2"/>
      <c r="K32" s="104">
        <f t="shared" si="0"/>
        <v>86739.911999999997</v>
      </c>
      <c r="L32" s="106"/>
      <c r="M32" s="6">
        <f t="shared" si="2"/>
        <v>85087.723199999993</v>
      </c>
    </row>
    <row r="33" spans="1:13">
      <c r="A33" s="2">
        <v>31</v>
      </c>
      <c r="B33" s="1">
        <v>46170</v>
      </c>
      <c r="C33" s="113">
        <v>46170</v>
      </c>
      <c r="D33" s="138" t="s">
        <v>211</v>
      </c>
      <c r="E33" s="2" t="s">
        <v>286</v>
      </c>
      <c r="F33" s="103" t="s">
        <v>299</v>
      </c>
      <c r="G33" s="142">
        <v>2187</v>
      </c>
      <c r="H33" s="143">
        <v>14.16</v>
      </c>
      <c r="I33" s="126">
        <f t="shared" si="1"/>
        <v>14.868</v>
      </c>
      <c r="J33" s="2"/>
      <c r="K33" s="104">
        <f t="shared" si="0"/>
        <v>32516.316000000003</v>
      </c>
      <c r="L33" s="106"/>
      <c r="M33" s="6">
        <f t="shared" si="2"/>
        <v>31896.957600000002</v>
      </c>
    </row>
    <row r="34" spans="1:13">
      <c r="A34" s="2">
        <v>32</v>
      </c>
      <c r="B34" s="1">
        <v>46170</v>
      </c>
      <c r="C34" s="113">
        <v>46170</v>
      </c>
      <c r="D34" s="2" t="s">
        <v>209</v>
      </c>
      <c r="E34" s="2"/>
      <c r="F34" s="103" t="s">
        <v>210</v>
      </c>
      <c r="G34" s="3">
        <v>2702</v>
      </c>
      <c r="H34" s="4">
        <v>14.56</v>
      </c>
      <c r="I34" s="4">
        <f t="shared" si="1"/>
        <v>15.288000000000002</v>
      </c>
      <c r="J34" s="2"/>
      <c r="K34" s="104">
        <f t="shared" si="0"/>
        <v>41308.176000000007</v>
      </c>
      <c r="L34" s="106"/>
      <c r="M34" s="6">
        <f t="shared" si="2"/>
        <v>40521.353600000009</v>
      </c>
    </row>
    <row r="35" spans="1:13">
      <c r="A35" s="2">
        <v>33</v>
      </c>
      <c r="B35" s="1">
        <v>46170</v>
      </c>
      <c r="C35" s="113">
        <v>46170</v>
      </c>
      <c r="D35" s="2" t="s">
        <v>209</v>
      </c>
      <c r="E35" s="2"/>
      <c r="F35" s="103" t="s">
        <v>210</v>
      </c>
      <c r="G35" s="3">
        <v>2706</v>
      </c>
      <c r="H35" s="4">
        <v>14.56</v>
      </c>
      <c r="I35" s="4">
        <f t="shared" si="1"/>
        <v>15.288000000000002</v>
      </c>
      <c r="J35" s="2"/>
      <c r="K35" s="104">
        <f t="shared" si="0"/>
        <v>41369.328000000009</v>
      </c>
      <c r="L35" s="106"/>
      <c r="M35" s="6">
        <f t="shared" si="2"/>
        <v>40581.340800000005</v>
      </c>
    </row>
    <row r="36" spans="1:13">
      <c r="A36" s="2">
        <v>34</v>
      </c>
      <c r="B36" s="1">
        <v>46178</v>
      </c>
      <c r="C36" s="113">
        <v>46178</v>
      </c>
      <c r="D36" s="2" t="s">
        <v>209</v>
      </c>
      <c r="E36" s="2"/>
      <c r="F36" s="103" t="s">
        <v>210</v>
      </c>
      <c r="G36" s="3">
        <v>3002</v>
      </c>
      <c r="H36" s="4">
        <v>14.56</v>
      </c>
      <c r="I36" s="4">
        <f t="shared" si="1"/>
        <v>15.288000000000002</v>
      </c>
      <c r="J36" s="2"/>
      <c r="K36" s="104">
        <f t="shared" si="0"/>
        <v>45894.576000000008</v>
      </c>
      <c r="L36" s="106"/>
      <c r="M36" s="6">
        <f t="shared" si="2"/>
        <v>45020.39360000001</v>
      </c>
    </row>
    <row r="37" spans="1:13">
      <c r="A37" s="2">
        <v>35</v>
      </c>
      <c r="B37" s="1">
        <v>46182</v>
      </c>
      <c r="C37" s="1">
        <v>46182</v>
      </c>
      <c r="D37" s="2" t="s">
        <v>209</v>
      </c>
      <c r="E37" s="2"/>
      <c r="F37" s="103" t="s">
        <v>210</v>
      </c>
      <c r="G37" s="3">
        <v>2682</v>
      </c>
      <c r="H37" s="4">
        <v>14.56</v>
      </c>
      <c r="I37" s="4">
        <f t="shared" si="1"/>
        <v>15.288000000000002</v>
      </c>
      <c r="J37" s="2"/>
      <c r="K37" s="104">
        <f t="shared" si="0"/>
        <v>41002.416000000005</v>
      </c>
      <c r="L37" s="106"/>
      <c r="M37" s="6">
        <f t="shared" si="2"/>
        <v>40221.417600000008</v>
      </c>
    </row>
    <row r="38" spans="1:13">
      <c r="A38" s="2">
        <v>36</v>
      </c>
      <c r="B38" s="1">
        <v>46185</v>
      </c>
      <c r="C38" s="1">
        <v>46185</v>
      </c>
      <c r="D38" s="2" t="s">
        <v>209</v>
      </c>
      <c r="E38" s="2"/>
      <c r="F38" s="103" t="s">
        <v>210</v>
      </c>
      <c r="G38" s="3">
        <v>4283</v>
      </c>
      <c r="H38" s="4">
        <v>14.56</v>
      </c>
      <c r="I38" s="4">
        <f t="shared" si="1"/>
        <v>15.288000000000002</v>
      </c>
      <c r="J38" s="2"/>
      <c r="K38" s="104">
        <f t="shared" si="0"/>
        <v>65478.504000000008</v>
      </c>
      <c r="L38" s="106"/>
      <c r="M38" s="6">
        <f t="shared" si="2"/>
        <v>64231.294400000006</v>
      </c>
    </row>
    <row r="39" spans="1:13">
      <c r="A39" s="2">
        <v>37</v>
      </c>
      <c r="B39" s="1">
        <v>46188</v>
      </c>
      <c r="C39" s="1"/>
      <c r="D39" s="2"/>
      <c r="E39" s="2"/>
      <c r="F39" s="103"/>
      <c r="G39" s="3"/>
      <c r="H39" s="4"/>
      <c r="I39" s="4"/>
      <c r="J39" s="2"/>
      <c r="K39" s="104"/>
      <c r="L39" s="106"/>
    </row>
    <row r="40" spans="1:13">
      <c r="A40" s="2"/>
      <c r="B40" s="1"/>
      <c r="C40" s="1"/>
      <c r="D40" s="2"/>
      <c r="E40" s="2"/>
      <c r="F40" s="103"/>
      <c r="G40" s="3"/>
      <c r="H40" s="4"/>
      <c r="I40" s="4"/>
      <c r="J40" s="2"/>
      <c r="K40" s="104"/>
      <c r="L40" s="106"/>
    </row>
    <row r="41" spans="1:13">
      <c r="A41" s="2"/>
      <c r="B41" s="1"/>
      <c r="C41" s="1"/>
      <c r="D41" s="2"/>
      <c r="E41" s="2"/>
      <c r="F41" s="103"/>
      <c r="G41" s="3"/>
      <c r="H41" s="4"/>
      <c r="I41" s="4"/>
      <c r="J41" s="2"/>
      <c r="K41" s="104"/>
      <c r="L41" s="106"/>
    </row>
    <row r="42" spans="1:13">
      <c r="A42" s="2"/>
      <c r="B42" s="1"/>
      <c r="C42" s="1"/>
      <c r="D42" s="2"/>
      <c r="E42" s="2"/>
      <c r="F42" s="103"/>
      <c r="G42" s="3"/>
      <c r="H42" s="4"/>
      <c r="I42" s="4"/>
      <c r="J42" s="2"/>
      <c r="K42" s="104"/>
      <c r="L42" s="106"/>
    </row>
    <row r="43" spans="1:13">
      <c r="A43" s="2"/>
      <c r="B43" s="1"/>
      <c r="C43" s="1"/>
      <c r="D43" s="2"/>
      <c r="E43" s="2"/>
      <c r="F43" s="103"/>
      <c r="G43" s="3"/>
      <c r="H43" s="4"/>
      <c r="I43" s="4"/>
      <c r="J43" s="2"/>
      <c r="K43" s="104"/>
      <c r="L43" s="106"/>
    </row>
    <row r="44" spans="1:13">
      <c r="A44" s="2"/>
      <c r="B44" s="1"/>
      <c r="C44" s="1"/>
      <c r="D44" s="2"/>
      <c r="E44" s="2"/>
      <c r="F44" s="103"/>
      <c r="G44" s="3"/>
      <c r="H44" s="4"/>
      <c r="I44" s="4"/>
      <c r="J44" s="2"/>
      <c r="K44" s="104"/>
      <c r="L44" s="106"/>
    </row>
    <row r="45" spans="1:13">
      <c r="A45" s="2"/>
      <c r="B45" s="1"/>
      <c r="C45" s="1"/>
      <c r="D45" s="2"/>
      <c r="E45" s="2"/>
      <c r="F45" s="103"/>
      <c r="G45" s="3"/>
      <c r="H45" s="4"/>
      <c r="I45" s="4"/>
      <c r="J45" s="2"/>
      <c r="K45" s="104"/>
      <c r="L45" s="106"/>
    </row>
    <row r="46" spans="1:13">
      <c r="A46" s="2"/>
      <c r="B46" s="1"/>
      <c r="C46" s="1"/>
      <c r="D46" s="2"/>
      <c r="E46" s="2"/>
      <c r="F46" s="103"/>
      <c r="G46" s="3"/>
      <c r="H46" s="4"/>
      <c r="I46" s="4"/>
      <c r="J46" s="2"/>
      <c r="K46" s="104"/>
      <c r="L46" s="106"/>
    </row>
    <row r="47" spans="1:13">
      <c r="A47" s="2"/>
      <c r="B47" s="1"/>
      <c r="C47" s="1"/>
      <c r="D47" s="2"/>
      <c r="E47" s="2"/>
      <c r="F47" s="103"/>
      <c r="G47" s="3"/>
      <c r="H47" s="4"/>
      <c r="I47" s="4"/>
      <c r="J47" s="2"/>
      <c r="K47" s="104"/>
      <c r="L47" s="106"/>
    </row>
    <row r="48" spans="1:13">
      <c r="A48" s="2"/>
      <c r="B48" s="1"/>
      <c r="C48" s="1"/>
      <c r="D48" s="2"/>
      <c r="E48" s="2"/>
      <c r="F48" s="103"/>
      <c r="G48" s="3"/>
      <c r="H48" s="4"/>
      <c r="I48" s="4"/>
      <c r="J48" s="2"/>
      <c r="K48" s="104"/>
      <c r="L48" s="106"/>
    </row>
    <row r="49" spans="1:12" ht="15.75" thickBot="1">
      <c r="A49" s="18"/>
      <c r="B49" s="1"/>
      <c r="C49" s="1"/>
      <c r="D49" s="2"/>
      <c r="E49" s="2"/>
      <c r="F49" s="103"/>
      <c r="G49" s="3"/>
      <c r="H49" s="4"/>
      <c r="I49" s="2"/>
      <c r="J49" s="2"/>
      <c r="K49" s="105"/>
      <c r="L49" s="36"/>
    </row>
    <row r="50" spans="1:12" ht="15.75" thickBot="1">
      <c r="A50" s="8"/>
      <c r="B50" s="9"/>
      <c r="C50" s="9"/>
      <c r="D50" s="10"/>
      <c r="E50" s="10"/>
      <c r="F50" s="101"/>
      <c r="G50" s="12">
        <f>SUBTOTAL(9,G3:G49)</f>
        <v>108920</v>
      </c>
      <c r="H50" s="12">
        <f>(K50/1.05)/G50</f>
        <v>14.302132941608521</v>
      </c>
      <c r="I50" s="10"/>
      <c r="J50" s="10"/>
      <c r="K50" s="107">
        <f>SUBTOTAL(9,K3:K49)</f>
        <v>1635677.736</v>
      </c>
      <c r="L50" s="108">
        <f>SUBTOTAL(9,L49:L49)</f>
        <v>0</v>
      </c>
    </row>
  </sheetData>
  <autoFilter ref="A2:O39">
    <filterColumn colId="3"/>
    <filterColumn colId="5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2"/>
  <sheetViews>
    <sheetView workbookViewId="0">
      <selection activeCell="H50" sqref="H50"/>
    </sheetView>
  </sheetViews>
  <sheetFormatPr defaultRowHeight="15"/>
  <cols>
    <col min="2" max="2" width="17.7109375" bestFit="1" customWidth="1"/>
    <col min="3" max="3" width="14.5703125" bestFit="1" customWidth="1"/>
    <col min="4" max="4" width="18.140625" bestFit="1" customWidth="1"/>
    <col min="5" max="5" width="9.85546875" bestFit="1" customWidth="1"/>
    <col min="8" max="8" width="12.85546875" bestFit="1" customWidth="1"/>
    <col min="9" max="9" width="9.140625" style="58"/>
    <col min="10" max="10" width="6.42578125" bestFit="1" customWidth="1"/>
    <col min="11" max="11" width="5.85546875" bestFit="1" customWidth="1"/>
    <col min="12" max="12" width="14.140625" bestFit="1" customWidth="1"/>
    <col min="13" max="13" width="10.28515625" bestFit="1" customWidth="1"/>
    <col min="14" max="14" width="13.42578125" bestFit="1" customWidth="1"/>
    <col min="15" max="15" width="10.28515625" bestFit="1" customWidth="1"/>
    <col min="18" max="18" width="7.140625" bestFit="1" customWidth="1"/>
  </cols>
  <sheetData>
    <row r="1" spans="1:29">
      <c r="J1" s="59"/>
      <c r="O1" s="60"/>
    </row>
    <row r="2" spans="1:29">
      <c r="B2" t="s">
        <v>57</v>
      </c>
      <c r="J2" s="59"/>
      <c r="O2" s="60"/>
    </row>
    <row r="3" spans="1:29">
      <c r="B3" t="s">
        <v>58</v>
      </c>
      <c r="C3" t="s">
        <v>59</v>
      </c>
      <c r="D3" t="s">
        <v>60</v>
      </c>
      <c r="E3" s="61" t="s">
        <v>61</v>
      </c>
      <c r="F3" t="s">
        <v>62</v>
      </c>
      <c r="G3" t="s">
        <v>63</v>
      </c>
      <c r="H3" t="s">
        <v>64</v>
      </c>
      <c r="I3" s="58" t="s">
        <v>65</v>
      </c>
      <c r="J3" s="62" t="s">
        <v>66</v>
      </c>
      <c r="K3" t="s">
        <v>67</v>
      </c>
      <c r="L3" t="s">
        <v>68</v>
      </c>
      <c r="M3" t="s">
        <v>69</v>
      </c>
      <c r="N3" t="s">
        <v>68</v>
      </c>
      <c r="O3" s="60" t="s">
        <v>69</v>
      </c>
      <c r="P3" t="s">
        <v>65</v>
      </c>
      <c r="Q3" t="s">
        <v>70</v>
      </c>
      <c r="R3" t="s">
        <v>71</v>
      </c>
      <c r="S3" t="s">
        <v>72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</row>
    <row r="4" spans="1:29">
      <c r="A4">
        <v>1</v>
      </c>
      <c r="B4" t="s">
        <v>73</v>
      </c>
      <c r="C4" t="s">
        <v>74</v>
      </c>
      <c r="D4" t="s">
        <v>75</v>
      </c>
      <c r="E4">
        <v>12000</v>
      </c>
      <c r="F4">
        <v>6100</v>
      </c>
      <c r="G4" s="63">
        <v>6291</v>
      </c>
      <c r="H4" t="s">
        <v>76</v>
      </c>
      <c r="I4" s="58">
        <f t="shared" ref="I4:I31" si="0">21*E4*F4*1.05/9000000</f>
        <v>179.34</v>
      </c>
      <c r="J4" s="59">
        <v>84</v>
      </c>
      <c r="K4">
        <v>58</v>
      </c>
      <c r="L4" s="64" t="s">
        <v>77</v>
      </c>
      <c r="M4" s="58">
        <f t="shared" ref="M4:M13" si="1">58*J4*K4*108*F4/900000000</f>
        <v>206.84563199999999</v>
      </c>
      <c r="O4" s="65"/>
      <c r="Q4">
        <v>13</v>
      </c>
      <c r="R4">
        <v>5950</v>
      </c>
      <c r="S4">
        <f>F4-R4</f>
        <v>150</v>
      </c>
    </row>
    <row r="5" spans="1:29">
      <c r="A5">
        <v>2</v>
      </c>
      <c r="B5" t="s">
        <v>73</v>
      </c>
      <c r="C5" t="s">
        <v>74</v>
      </c>
      <c r="D5" t="s">
        <v>75</v>
      </c>
      <c r="E5">
        <v>12000</v>
      </c>
      <c r="F5">
        <v>6100</v>
      </c>
      <c r="G5" s="63">
        <v>6292</v>
      </c>
      <c r="H5" t="s">
        <v>76</v>
      </c>
      <c r="I5" s="58">
        <f t="shared" si="0"/>
        <v>179.34</v>
      </c>
      <c r="J5" s="59">
        <v>84</v>
      </c>
      <c r="K5">
        <v>58</v>
      </c>
      <c r="L5" s="64" t="s">
        <v>77</v>
      </c>
      <c r="M5" s="58">
        <f t="shared" si="1"/>
        <v>206.84563199999999</v>
      </c>
      <c r="O5" s="65"/>
      <c r="Q5">
        <v>12</v>
      </c>
      <c r="R5">
        <v>5855</v>
      </c>
      <c r="S5">
        <f t="shared" ref="S5:S30" si="2">F5-R5</f>
        <v>245</v>
      </c>
    </row>
    <row r="6" spans="1:29">
      <c r="A6">
        <v>3</v>
      </c>
      <c r="B6" t="s">
        <v>73</v>
      </c>
      <c r="C6" t="s">
        <v>74</v>
      </c>
      <c r="D6" t="s">
        <v>75</v>
      </c>
      <c r="E6">
        <v>12000</v>
      </c>
      <c r="F6">
        <v>6100</v>
      </c>
      <c r="G6" s="63">
        <v>6293</v>
      </c>
      <c r="H6" t="s">
        <v>76</v>
      </c>
      <c r="I6" s="58">
        <f t="shared" si="0"/>
        <v>179.34</v>
      </c>
      <c r="J6" s="59">
        <v>84</v>
      </c>
      <c r="K6">
        <v>58</v>
      </c>
      <c r="L6" s="64" t="s">
        <v>77</v>
      </c>
      <c r="M6" s="58">
        <f t="shared" si="1"/>
        <v>206.84563199999999</v>
      </c>
      <c r="O6" s="65"/>
      <c r="Q6">
        <v>16</v>
      </c>
      <c r="R6">
        <v>1428</v>
      </c>
      <c r="S6">
        <f t="shared" si="2"/>
        <v>4672</v>
      </c>
    </row>
    <row r="7" spans="1:29">
      <c r="A7">
        <v>4</v>
      </c>
      <c r="B7" t="s">
        <v>73</v>
      </c>
      <c r="C7" t="s">
        <v>74</v>
      </c>
      <c r="D7" t="s">
        <v>75</v>
      </c>
      <c r="E7">
        <v>12000</v>
      </c>
      <c r="F7">
        <v>6100</v>
      </c>
      <c r="G7" s="63">
        <v>6294</v>
      </c>
      <c r="H7" t="s">
        <v>76</v>
      </c>
      <c r="I7" s="58">
        <f t="shared" si="0"/>
        <v>179.34</v>
      </c>
      <c r="J7" s="59">
        <v>84</v>
      </c>
      <c r="K7">
        <v>58</v>
      </c>
      <c r="L7" s="64" t="s">
        <v>77</v>
      </c>
      <c r="M7" s="58">
        <f t="shared" si="1"/>
        <v>206.84563199999999</v>
      </c>
      <c r="O7" s="65"/>
      <c r="Q7">
        <v>14</v>
      </c>
      <c r="R7">
        <v>5790</v>
      </c>
      <c r="S7">
        <f t="shared" si="2"/>
        <v>310</v>
      </c>
    </row>
    <row r="8" spans="1:29">
      <c r="A8">
        <v>5</v>
      </c>
      <c r="B8" t="s">
        <v>73</v>
      </c>
      <c r="C8" t="s">
        <v>74</v>
      </c>
      <c r="D8" t="s">
        <v>75</v>
      </c>
      <c r="E8">
        <v>12000</v>
      </c>
      <c r="F8">
        <v>5500</v>
      </c>
      <c r="G8" s="63">
        <v>6295</v>
      </c>
      <c r="H8" t="s">
        <v>76</v>
      </c>
      <c r="I8" s="58">
        <f t="shared" si="0"/>
        <v>161.69999999999999</v>
      </c>
      <c r="J8" s="59">
        <v>84</v>
      </c>
      <c r="K8">
        <v>58</v>
      </c>
      <c r="L8" s="64" t="s">
        <v>77</v>
      </c>
      <c r="M8" s="58">
        <f t="shared" si="1"/>
        <v>186.50015999999999</v>
      </c>
      <c r="O8" s="65"/>
      <c r="Q8">
        <v>7</v>
      </c>
      <c r="R8">
        <v>3783</v>
      </c>
      <c r="S8">
        <f t="shared" si="2"/>
        <v>1717</v>
      </c>
    </row>
    <row r="9" spans="1:29">
      <c r="A9">
        <v>6</v>
      </c>
      <c r="B9" t="s">
        <v>78</v>
      </c>
      <c r="C9" t="s">
        <v>79</v>
      </c>
      <c r="D9" t="s">
        <v>75</v>
      </c>
      <c r="E9">
        <v>12000</v>
      </c>
      <c r="F9">
        <v>6300</v>
      </c>
      <c r="G9" s="63">
        <v>8279</v>
      </c>
      <c r="H9" t="s">
        <v>76</v>
      </c>
      <c r="I9" s="58">
        <f t="shared" si="0"/>
        <v>185.22</v>
      </c>
      <c r="J9" s="59">
        <v>80</v>
      </c>
      <c r="K9">
        <v>54</v>
      </c>
      <c r="L9" s="64" t="s">
        <v>80</v>
      </c>
      <c r="M9" s="58">
        <f t="shared" si="1"/>
        <v>189.42336</v>
      </c>
      <c r="O9" s="65"/>
      <c r="Q9">
        <v>4</v>
      </c>
      <c r="R9">
        <v>4730</v>
      </c>
      <c r="S9">
        <f t="shared" si="2"/>
        <v>1570</v>
      </c>
    </row>
    <row r="10" spans="1:29">
      <c r="A10">
        <v>7</v>
      </c>
      <c r="B10" t="s">
        <v>78</v>
      </c>
      <c r="C10" t="s">
        <v>81</v>
      </c>
      <c r="D10" t="s">
        <v>75</v>
      </c>
      <c r="E10">
        <v>12000</v>
      </c>
      <c r="F10">
        <v>6300</v>
      </c>
      <c r="G10" s="63">
        <v>8280</v>
      </c>
      <c r="H10" t="s">
        <v>76</v>
      </c>
      <c r="I10" s="58">
        <f t="shared" si="0"/>
        <v>185.22</v>
      </c>
      <c r="J10" s="59">
        <v>104</v>
      </c>
      <c r="K10">
        <v>54</v>
      </c>
      <c r="L10" s="64" t="s">
        <v>80</v>
      </c>
      <c r="M10" s="58">
        <f t="shared" si="1"/>
        <v>246.25036800000001</v>
      </c>
      <c r="O10" s="65"/>
      <c r="Q10">
        <v>15</v>
      </c>
      <c r="R10">
        <v>2713</v>
      </c>
      <c r="S10">
        <f t="shared" si="2"/>
        <v>3587</v>
      </c>
    </row>
    <row r="11" spans="1:29">
      <c r="A11">
        <v>8</v>
      </c>
      <c r="B11" t="s">
        <v>78</v>
      </c>
      <c r="C11" t="s">
        <v>79</v>
      </c>
      <c r="D11" t="s">
        <v>75</v>
      </c>
      <c r="E11">
        <v>12000</v>
      </c>
      <c r="F11">
        <v>6400</v>
      </c>
      <c r="G11" s="63">
        <v>8281</v>
      </c>
      <c r="H11" t="s">
        <v>76</v>
      </c>
      <c r="I11" s="58">
        <f t="shared" si="0"/>
        <v>188.16</v>
      </c>
      <c r="J11" s="59">
        <v>80</v>
      </c>
      <c r="K11">
        <v>54</v>
      </c>
      <c r="L11" s="64" t="s">
        <v>80</v>
      </c>
      <c r="M11" s="58">
        <f t="shared" si="1"/>
        <v>192.43008</v>
      </c>
      <c r="O11" s="65"/>
      <c r="Q11">
        <v>1</v>
      </c>
      <c r="R11">
        <v>5343</v>
      </c>
      <c r="S11">
        <f t="shared" si="2"/>
        <v>1057</v>
      </c>
    </row>
    <row r="12" spans="1:29">
      <c r="A12">
        <v>9</v>
      </c>
      <c r="B12" t="s">
        <v>78</v>
      </c>
      <c r="C12" t="s">
        <v>79</v>
      </c>
      <c r="D12" t="s">
        <v>75</v>
      </c>
      <c r="E12">
        <v>12000</v>
      </c>
      <c r="F12">
        <v>6500</v>
      </c>
      <c r="G12" s="63">
        <v>8288</v>
      </c>
      <c r="H12" t="s">
        <v>76</v>
      </c>
      <c r="I12" s="58">
        <f t="shared" si="0"/>
        <v>191.1</v>
      </c>
      <c r="J12" s="59">
        <v>80</v>
      </c>
      <c r="K12">
        <v>54</v>
      </c>
      <c r="L12" s="64" t="s">
        <v>80</v>
      </c>
      <c r="M12" s="58">
        <f t="shared" si="1"/>
        <v>195.43680000000001</v>
      </c>
      <c r="O12" s="65"/>
      <c r="Q12">
        <v>3</v>
      </c>
      <c r="R12">
        <v>4809</v>
      </c>
      <c r="S12">
        <f t="shared" si="2"/>
        <v>1691</v>
      </c>
    </row>
    <row r="13" spans="1:29">
      <c r="A13">
        <v>10</v>
      </c>
      <c r="B13" t="s">
        <v>78</v>
      </c>
      <c r="C13" t="s">
        <v>79</v>
      </c>
      <c r="D13" t="s">
        <v>75</v>
      </c>
      <c r="E13">
        <v>12000</v>
      </c>
      <c r="F13">
        <v>6500</v>
      </c>
      <c r="G13" s="63">
        <v>8289</v>
      </c>
      <c r="H13" t="s">
        <v>76</v>
      </c>
      <c r="I13" s="58">
        <f t="shared" si="0"/>
        <v>191.1</v>
      </c>
      <c r="J13" s="59">
        <v>80</v>
      </c>
      <c r="K13">
        <v>54</v>
      </c>
      <c r="L13" s="64" t="s">
        <v>80</v>
      </c>
      <c r="M13" s="58">
        <f t="shared" si="1"/>
        <v>195.43680000000001</v>
      </c>
      <c r="O13" s="65"/>
      <c r="Q13">
        <v>2</v>
      </c>
      <c r="R13">
        <v>5017</v>
      </c>
      <c r="S13">
        <f t="shared" si="2"/>
        <v>1483</v>
      </c>
    </row>
    <row r="14" spans="1:29">
      <c r="A14">
        <v>11</v>
      </c>
      <c r="B14" t="s">
        <v>78</v>
      </c>
      <c r="C14" t="s">
        <v>82</v>
      </c>
      <c r="D14" t="s">
        <v>75</v>
      </c>
      <c r="E14">
        <v>5900</v>
      </c>
      <c r="F14">
        <v>6000</v>
      </c>
      <c r="G14" s="63">
        <v>6324</v>
      </c>
      <c r="H14" t="s">
        <v>76</v>
      </c>
      <c r="I14" s="58">
        <f t="shared" si="0"/>
        <v>86.73</v>
      </c>
      <c r="J14" s="59">
        <v>92</v>
      </c>
      <c r="K14">
        <v>57</v>
      </c>
      <c r="L14" s="64" t="s">
        <v>83</v>
      </c>
      <c r="M14" s="58">
        <f t="shared" ref="M14:M23" si="3">21*J14*K14*108*F14/900000000</f>
        <v>79.289280000000005</v>
      </c>
      <c r="O14" s="65"/>
      <c r="Q14">
        <v>10</v>
      </c>
      <c r="R14">
        <v>4492</v>
      </c>
      <c r="S14">
        <f t="shared" si="2"/>
        <v>1508</v>
      </c>
    </row>
    <row r="15" spans="1:29">
      <c r="A15">
        <v>12</v>
      </c>
      <c r="B15" t="s">
        <v>78</v>
      </c>
      <c r="C15" t="s">
        <v>82</v>
      </c>
      <c r="D15" t="s">
        <v>75</v>
      </c>
      <c r="E15">
        <v>5900</v>
      </c>
      <c r="F15">
        <v>6000</v>
      </c>
      <c r="G15" s="63">
        <v>6325</v>
      </c>
      <c r="H15" t="s">
        <v>76</v>
      </c>
      <c r="I15" s="58">
        <f t="shared" si="0"/>
        <v>86.73</v>
      </c>
      <c r="J15" s="59">
        <v>92</v>
      </c>
      <c r="K15">
        <v>57</v>
      </c>
      <c r="L15" s="64" t="s">
        <v>83</v>
      </c>
      <c r="M15" s="58">
        <f t="shared" si="3"/>
        <v>79.289280000000005</v>
      </c>
      <c r="O15" s="65"/>
      <c r="Q15">
        <v>23</v>
      </c>
      <c r="R15">
        <v>3910</v>
      </c>
      <c r="S15">
        <f t="shared" si="2"/>
        <v>2090</v>
      </c>
    </row>
    <row r="16" spans="1:29">
      <c r="A16">
        <v>13</v>
      </c>
      <c r="B16" t="s">
        <v>78</v>
      </c>
      <c r="C16" t="s">
        <v>82</v>
      </c>
      <c r="D16" t="s">
        <v>75</v>
      </c>
      <c r="E16">
        <v>5900</v>
      </c>
      <c r="F16">
        <v>6000</v>
      </c>
      <c r="G16" s="63">
        <v>6326</v>
      </c>
      <c r="H16" t="s">
        <v>76</v>
      </c>
      <c r="I16" s="58">
        <f t="shared" si="0"/>
        <v>86.73</v>
      </c>
      <c r="J16" s="59">
        <v>92</v>
      </c>
      <c r="K16">
        <v>57</v>
      </c>
      <c r="L16" s="64" t="s">
        <v>83</v>
      </c>
      <c r="M16" s="58">
        <f t="shared" si="3"/>
        <v>79.289280000000005</v>
      </c>
      <c r="O16" s="65"/>
      <c r="Q16">
        <v>9</v>
      </c>
      <c r="R16">
        <v>6834</v>
      </c>
      <c r="S16">
        <f t="shared" si="2"/>
        <v>-834</v>
      </c>
    </row>
    <row r="17" spans="1:19">
      <c r="A17">
        <v>14</v>
      </c>
      <c r="B17" t="s">
        <v>78</v>
      </c>
      <c r="C17" t="s">
        <v>82</v>
      </c>
      <c r="D17" t="s">
        <v>75</v>
      </c>
      <c r="E17">
        <v>5900</v>
      </c>
      <c r="F17">
        <v>6000</v>
      </c>
      <c r="G17" s="63">
        <v>6327</v>
      </c>
      <c r="H17" t="s">
        <v>76</v>
      </c>
      <c r="I17" s="58">
        <f t="shared" si="0"/>
        <v>86.73</v>
      </c>
      <c r="J17" s="59">
        <v>92</v>
      </c>
      <c r="K17">
        <v>57</v>
      </c>
      <c r="L17" s="64" t="s">
        <v>83</v>
      </c>
      <c r="M17" s="58">
        <f t="shared" si="3"/>
        <v>79.289280000000005</v>
      </c>
      <c r="O17" s="65"/>
      <c r="Q17">
        <v>8</v>
      </c>
      <c r="R17">
        <v>5153</v>
      </c>
      <c r="S17">
        <f t="shared" si="2"/>
        <v>847</v>
      </c>
    </row>
    <row r="18" spans="1:19">
      <c r="A18">
        <v>15</v>
      </c>
      <c r="B18" t="s">
        <v>78</v>
      </c>
      <c r="C18" t="s">
        <v>82</v>
      </c>
      <c r="D18" t="s">
        <v>75</v>
      </c>
      <c r="E18">
        <v>5900</v>
      </c>
      <c r="F18">
        <v>6000</v>
      </c>
      <c r="G18" s="63">
        <v>6328</v>
      </c>
      <c r="H18" t="s">
        <v>76</v>
      </c>
      <c r="I18" s="58">
        <f t="shared" si="0"/>
        <v>86.73</v>
      </c>
      <c r="J18" s="59">
        <v>92</v>
      </c>
      <c r="K18">
        <v>57</v>
      </c>
      <c r="L18" s="64" t="s">
        <v>83</v>
      </c>
      <c r="M18" s="58">
        <f t="shared" si="3"/>
        <v>79.289280000000005</v>
      </c>
      <c r="O18" s="65"/>
      <c r="Q18">
        <v>17</v>
      </c>
      <c r="R18">
        <v>4366</v>
      </c>
      <c r="S18">
        <f t="shared" si="2"/>
        <v>1634</v>
      </c>
    </row>
    <row r="19" spans="1:19">
      <c r="A19">
        <v>16</v>
      </c>
      <c r="B19" t="s">
        <v>78</v>
      </c>
      <c r="C19" t="s">
        <v>82</v>
      </c>
      <c r="D19" t="s">
        <v>75</v>
      </c>
      <c r="E19">
        <v>5900</v>
      </c>
      <c r="F19">
        <v>6000</v>
      </c>
      <c r="G19" s="63">
        <v>6329</v>
      </c>
      <c r="H19" t="s">
        <v>76</v>
      </c>
      <c r="I19" s="58">
        <f t="shared" si="0"/>
        <v>86.73</v>
      </c>
      <c r="J19" s="59">
        <v>92</v>
      </c>
      <c r="K19">
        <v>57</v>
      </c>
      <c r="L19" s="64" t="s">
        <v>83</v>
      </c>
      <c r="M19" s="58">
        <f t="shared" si="3"/>
        <v>79.289280000000005</v>
      </c>
      <c r="O19" s="65"/>
      <c r="Q19">
        <v>25</v>
      </c>
      <c r="R19">
        <v>3583</v>
      </c>
      <c r="S19">
        <f t="shared" si="2"/>
        <v>2417</v>
      </c>
    </row>
    <row r="20" spans="1:19">
      <c r="A20">
        <v>17</v>
      </c>
      <c r="B20" t="s">
        <v>78</v>
      </c>
      <c r="C20" t="s">
        <v>82</v>
      </c>
      <c r="D20" t="s">
        <v>75</v>
      </c>
      <c r="E20">
        <v>5900</v>
      </c>
      <c r="F20">
        <v>6000</v>
      </c>
      <c r="G20" s="63">
        <v>6330</v>
      </c>
      <c r="H20" t="s">
        <v>76</v>
      </c>
      <c r="I20" s="58">
        <f t="shared" si="0"/>
        <v>86.73</v>
      </c>
      <c r="J20" s="59">
        <v>92</v>
      </c>
      <c r="K20">
        <v>57</v>
      </c>
      <c r="L20" s="64" t="s">
        <v>83</v>
      </c>
      <c r="M20" s="58">
        <f t="shared" si="3"/>
        <v>79.289280000000005</v>
      </c>
      <c r="O20" s="65"/>
      <c r="Q20">
        <v>11</v>
      </c>
      <c r="R20">
        <v>6223</v>
      </c>
      <c r="S20">
        <f t="shared" si="2"/>
        <v>-223</v>
      </c>
    </row>
    <row r="21" spans="1:19">
      <c r="A21">
        <v>18</v>
      </c>
      <c r="B21" t="s">
        <v>78</v>
      </c>
      <c r="C21" t="s">
        <v>82</v>
      </c>
      <c r="D21" t="s">
        <v>75</v>
      </c>
      <c r="E21">
        <v>5900</v>
      </c>
      <c r="F21">
        <v>6000</v>
      </c>
      <c r="G21" s="63">
        <v>6331</v>
      </c>
      <c r="H21" t="s">
        <v>76</v>
      </c>
      <c r="I21" s="58">
        <f t="shared" si="0"/>
        <v>86.73</v>
      </c>
      <c r="J21" s="59">
        <v>92</v>
      </c>
      <c r="K21">
        <v>57</v>
      </c>
      <c r="L21" s="64" t="s">
        <v>83</v>
      </c>
      <c r="M21" s="58">
        <f t="shared" si="3"/>
        <v>79.289280000000005</v>
      </c>
      <c r="O21" s="65"/>
      <c r="Q21">
        <v>24</v>
      </c>
      <c r="R21">
        <v>4068</v>
      </c>
      <c r="S21">
        <f t="shared" si="2"/>
        <v>1932</v>
      </c>
    </row>
    <row r="22" spans="1:19">
      <c r="A22">
        <v>19</v>
      </c>
      <c r="B22" t="s">
        <v>78</v>
      </c>
      <c r="C22" t="s">
        <v>82</v>
      </c>
      <c r="D22" t="s">
        <v>75</v>
      </c>
      <c r="E22">
        <v>5900</v>
      </c>
      <c r="F22">
        <v>6000</v>
      </c>
      <c r="G22" s="63">
        <v>6332</v>
      </c>
      <c r="H22" t="s">
        <v>76</v>
      </c>
      <c r="I22" s="58">
        <f t="shared" si="0"/>
        <v>86.73</v>
      </c>
      <c r="J22" s="59">
        <v>92</v>
      </c>
      <c r="K22">
        <v>57</v>
      </c>
      <c r="L22" s="64" t="s">
        <v>83</v>
      </c>
      <c r="M22" s="58">
        <f t="shared" si="3"/>
        <v>79.289280000000005</v>
      </c>
      <c r="O22" s="65"/>
      <c r="Q22">
        <v>26</v>
      </c>
      <c r="R22">
        <v>3403</v>
      </c>
      <c r="S22">
        <f t="shared" si="2"/>
        <v>2597</v>
      </c>
    </row>
    <row r="23" spans="1:19">
      <c r="A23">
        <v>20</v>
      </c>
      <c r="B23" t="s">
        <v>78</v>
      </c>
      <c r="C23" t="s">
        <v>82</v>
      </c>
      <c r="D23" t="s">
        <v>75</v>
      </c>
      <c r="E23">
        <v>5900</v>
      </c>
      <c r="F23">
        <v>6000</v>
      </c>
      <c r="G23" s="63">
        <v>6333</v>
      </c>
      <c r="H23" t="s">
        <v>76</v>
      </c>
      <c r="I23" s="58">
        <f t="shared" si="0"/>
        <v>86.73</v>
      </c>
      <c r="J23" s="59">
        <v>92</v>
      </c>
      <c r="K23">
        <v>57</v>
      </c>
      <c r="L23" s="64" t="s">
        <v>83</v>
      </c>
      <c r="M23" s="58">
        <f t="shared" si="3"/>
        <v>79.289280000000005</v>
      </c>
      <c r="O23" s="65"/>
      <c r="Q23">
        <v>27</v>
      </c>
      <c r="R23">
        <v>2911</v>
      </c>
      <c r="S23">
        <f t="shared" si="2"/>
        <v>3089</v>
      </c>
    </row>
    <row r="24" spans="1:19">
      <c r="A24">
        <v>21</v>
      </c>
      <c r="B24" t="s">
        <v>73</v>
      </c>
      <c r="C24" t="s">
        <v>84</v>
      </c>
      <c r="D24" t="s">
        <v>75</v>
      </c>
      <c r="E24">
        <v>6000</v>
      </c>
      <c r="F24">
        <v>7000</v>
      </c>
      <c r="G24" s="63">
        <v>6357</v>
      </c>
      <c r="H24" t="s">
        <v>76</v>
      </c>
      <c r="I24" s="58">
        <f t="shared" si="0"/>
        <v>102.9</v>
      </c>
      <c r="J24" s="59">
        <v>92</v>
      </c>
      <c r="K24">
        <v>54</v>
      </c>
      <c r="L24" s="64" t="s">
        <v>77</v>
      </c>
      <c r="M24" s="58">
        <f t="shared" ref="M24:M30" si="4">58*J24/2*K24*108*F24/900000000</f>
        <v>121.02048000000001</v>
      </c>
      <c r="N24" s="64" t="s">
        <v>85</v>
      </c>
      <c r="O24" s="65">
        <f t="shared" ref="O24:O30" si="5">21*J24/2*K24*108*F24/900000000</f>
        <v>43.81776</v>
      </c>
      <c r="Q24">
        <v>21</v>
      </c>
      <c r="R24">
        <v>3275</v>
      </c>
      <c r="S24">
        <f t="shared" si="2"/>
        <v>3725</v>
      </c>
    </row>
    <row r="25" spans="1:19">
      <c r="A25">
        <v>22</v>
      </c>
      <c r="B25" t="s">
        <v>73</v>
      </c>
      <c r="C25" t="s">
        <v>84</v>
      </c>
      <c r="D25" t="s">
        <v>75</v>
      </c>
      <c r="E25">
        <v>6000</v>
      </c>
      <c r="F25">
        <v>7000</v>
      </c>
      <c r="G25" s="63">
        <v>6358</v>
      </c>
      <c r="H25" t="s">
        <v>76</v>
      </c>
      <c r="I25" s="58">
        <f t="shared" si="0"/>
        <v>102.9</v>
      </c>
      <c r="J25" s="59">
        <v>92</v>
      </c>
      <c r="K25">
        <v>54</v>
      </c>
      <c r="L25" s="64" t="s">
        <v>77</v>
      </c>
      <c r="M25" s="58">
        <f t="shared" si="4"/>
        <v>121.02048000000001</v>
      </c>
      <c r="N25" s="64" t="s">
        <v>85</v>
      </c>
      <c r="O25" s="65">
        <f t="shared" si="5"/>
        <v>43.81776</v>
      </c>
      <c r="Q25">
        <v>19</v>
      </c>
      <c r="R25">
        <v>2299</v>
      </c>
      <c r="S25">
        <f t="shared" si="2"/>
        <v>4701</v>
      </c>
    </row>
    <row r="26" spans="1:19">
      <c r="A26">
        <v>23</v>
      </c>
      <c r="B26" t="s">
        <v>73</v>
      </c>
      <c r="C26" t="s">
        <v>84</v>
      </c>
      <c r="D26" t="s">
        <v>75</v>
      </c>
      <c r="E26">
        <v>6000</v>
      </c>
      <c r="F26">
        <v>7000</v>
      </c>
      <c r="G26" s="63">
        <v>6359</v>
      </c>
      <c r="H26" t="s">
        <v>76</v>
      </c>
      <c r="I26" s="58">
        <f t="shared" si="0"/>
        <v>102.9</v>
      </c>
      <c r="J26" s="59">
        <v>92</v>
      </c>
      <c r="K26">
        <v>54</v>
      </c>
      <c r="L26" s="64" t="s">
        <v>77</v>
      </c>
      <c r="M26" s="58">
        <f t="shared" si="4"/>
        <v>121.02048000000001</v>
      </c>
      <c r="N26" s="64" t="s">
        <v>85</v>
      </c>
      <c r="O26" s="65">
        <f t="shared" si="5"/>
        <v>43.81776</v>
      </c>
      <c r="Q26">
        <v>6</v>
      </c>
      <c r="R26">
        <v>2642</v>
      </c>
      <c r="S26">
        <f t="shared" si="2"/>
        <v>4358</v>
      </c>
    </row>
    <row r="27" spans="1:19">
      <c r="A27">
        <v>24</v>
      </c>
      <c r="B27" t="s">
        <v>73</v>
      </c>
      <c r="C27" t="s">
        <v>84</v>
      </c>
      <c r="D27" t="s">
        <v>75</v>
      </c>
      <c r="E27">
        <v>6000</v>
      </c>
      <c r="F27">
        <v>7000</v>
      </c>
      <c r="G27" s="63">
        <v>6360</v>
      </c>
      <c r="H27" t="s">
        <v>76</v>
      </c>
      <c r="I27" s="58">
        <f t="shared" si="0"/>
        <v>102.9</v>
      </c>
      <c r="J27" s="59">
        <v>92</v>
      </c>
      <c r="K27">
        <v>54</v>
      </c>
      <c r="L27" s="64" t="s">
        <v>77</v>
      </c>
      <c r="M27" s="58">
        <f t="shared" si="4"/>
        <v>121.02048000000001</v>
      </c>
      <c r="N27" s="64" t="s">
        <v>85</v>
      </c>
      <c r="O27" s="65">
        <f t="shared" si="5"/>
        <v>43.81776</v>
      </c>
      <c r="Q27">
        <v>20</v>
      </c>
      <c r="R27">
        <v>2974</v>
      </c>
      <c r="S27">
        <f t="shared" si="2"/>
        <v>4026</v>
      </c>
    </row>
    <row r="28" spans="1:19">
      <c r="A28">
        <v>25</v>
      </c>
      <c r="B28" t="s">
        <v>73</v>
      </c>
      <c r="C28" t="s">
        <v>84</v>
      </c>
      <c r="D28" t="s">
        <v>75</v>
      </c>
      <c r="E28">
        <v>6000</v>
      </c>
      <c r="F28">
        <v>7000</v>
      </c>
      <c r="G28" s="63">
        <v>6361</v>
      </c>
      <c r="H28" t="s">
        <v>76</v>
      </c>
      <c r="I28" s="58">
        <f t="shared" si="0"/>
        <v>102.9</v>
      </c>
      <c r="J28" s="59">
        <v>92</v>
      </c>
      <c r="K28">
        <v>54</v>
      </c>
      <c r="L28" s="64" t="s">
        <v>77</v>
      </c>
      <c r="M28" s="58">
        <f t="shared" si="4"/>
        <v>121.02048000000001</v>
      </c>
      <c r="N28" s="64" t="s">
        <v>85</v>
      </c>
      <c r="O28" s="65">
        <f t="shared" si="5"/>
        <v>43.81776</v>
      </c>
      <c r="Q28">
        <v>18</v>
      </c>
      <c r="R28">
        <v>2466</v>
      </c>
      <c r="S28">
        <f t="shared" si="2"/>
        <v>4534</v>
      </c>
    </row>
    <row r="29" spans="1:19">
      <c r="A29">
        <v>26</v>
      </c>
      <c r="B29" t="s">
        <v>78</v>
      </c>
      <c r="C29" t="s">
        <v>84</v>
      </c>
      <c r="D29" t="s">
        <v>75</v>
      </c>
      <c r="E29">
        <v>6000</v>
      </c>
      <c r="F29">
        <v>6700</v>
      </c>
      <c r="G29" s="63">
        <v>6362</v>
      </c>
      <c r="H29" t="s">
        <v>76</v>
      </c>
      <c r="I29" s="58">
        <f t="shared" si="0"/>
        <v>98.49</v>
      </c>
      <c r="J29" s="59">
        <v>92</v>
      </c>
      <c r="K29">
        <v>54</v>
      </c>
      <c r="L29" s="64" t="s">
        <v>77</v>
      </c>
      <c r="M29" s="58">
        <f t="shared" si="4"/>
        <v>115.833888</v>
      </c>
      <c r="N29" s="64" t="s">
        <v>85</v>
      </c>
      <c r="O29" s="65">
        <f t="shared" si="5"/>
        <v>41.939855999999999</v>
      </c>
      <c r="Q29">
        <v>22</v>
      </c>
      <c r="R29">
        <v>2972</v>
      </c>
      <c r="S29">
        <f t="shared" si="2"/>
        <v>3728</v>
      </c>
    </row>
    <row r="30" spans="1:19">
      <c r="A30">
        <v>27</v>
      </c>
      <c r="B30" t="s">
        <v>78</v>
      </c>
      <c r="C30" t="s">
        <v>84</v>
      </c>
      <c r="D30" t="s">
        <v>75</v>
      </c>
      <c r="E30">
        <v>6000</v>
      </c>
      <c r="F30">
        <v>6700</v>
      </c>
      <c r="G30" s="63">
        <v>6363</v>
      </c>
      <c r="H30" t="s">
        <v>76</v>
      </c>
      <c r="I30" s="58">
        <f t="shared" si="0"/>
        <v>98.49</v>
      </c>
      <c r="J30" s="59">
        <v>92</v>
      </c>
      <c r="K30">
        <v>54</v>
      </c>
      <c r="L30" s="64" t="s">
        <v>77</v>
      </c>
      <c r="M30" s="58">
        <f t="shared" si="4"/>
        <v>115.833888</v>
      </c>
      <c r="N30" s="64" t="s">
        <v>85</v>
      </c>
      <c r="O30" s="65">
        <f t="shared" si="5"/>
        <v>41.939855999999999</v>
      </c>
      <c r="Q30">
        <v>5</v>
      </c>
      <c r="R30">
        <v>2258</v>
      </c>
      <c r="S30">
        <f t="shared" si="2"/>
        <v>4442</v>
      </c>
    </row>
    <row r="31" spans="1:19">
      <c r="A31">
        <v>28</v>
      </c>
      <c r="B31" t="s">
        <v>73</v>
      </c>
      <c r="C31" t="s">
        <v>81</v>
      </c>
      <c r="D31" t="s">
        <v>75</v>
      </c>
      <c r="E31">
        <v>12000</v>
      </c>
      <c r="F31">
        <v>6500</v>
      </c>
      <c r="G31" s="63">
        <v>6364</v>
      </c>
      <c r="H31" t="s">
        <v>76</v>
      </c>
      <c r="I31" s="58">
        <f t="shared" si="0"/>
        <v>191.1</v>
      </c>
      <c r="J31" s="59">
        <v>104</v>
      </c>
      <c r="K31">
        <v>54</v>
      </c>
      <c r="L31" s="64" t="s">
        <v>80</v>
      </c>
      <c r="M31" s="58">
        <f>58*J31*K31*108*F31/900000000</f>
        <v>254.06783999999999</v>
      </c>
      <c r="N31" s="64"/>
      <c r="O31" s="65"/>
    </row>
    <row r="32" spans="1:19">
      <c r="A32">
        <v>29</v>
      </c>
      <c r="B32" t="s">
        <v>86</v>
      </c>
      <c r="C32" t="s">
        <v>87</v>
      </c>
      <c r="D32" t="s">
        <v>88</v>
      </c>
      <c r="E32">
        <v>5962</v>
      </c>
      <c r="F32">
        <v>1500</v>
      </c>
      <c r="G32" s="63">
        <v>1</v>
      </c>
      <c r="H32" t="s">
        <v>89</v>
      </c>
      <c r="I32" s="58">
        <f t="shared" ref="I32:I44" si="6">34*E32*F32*1.05/9000000</f>
        <v>35.4739</v>
      </c>
      <c r="J32" s="59">
        <v>92</v>
      </c>
      <c r="K32">
        <v>56</v>
      </c>
      <c r="L32" s="64" t="s">
        <v>88</v>
      </c>
      <c r="M32" s="58">
        <f t="shared" ref="M32:M44" si="7">36*J32/2*K32*108*F32/900000000</f>
        <v>16.69248</v>
      </c>
      <c r="N32" s="64" t="s">
        <v>85</v>
      </c>
      <c r="O32" s="65">
        <f t="shared" ref="O32:O44" si="8">21*J32/2*K32*108*F32/900000000</f>
        <v>9.7372800000000002</v>
      </c>
      <c r="Q32">
        <v>16</v>
      </c>
    </row>
    <row r="33" spans="1:17">
      <c r="A33">
        <v>30</v>
      </c>
      <c r="B33" t="s">
        <v>86</v>
      </c>
      <c r="C33" t="s">
        <v>87</v>
      </c>
      <c r="D33" t="s">
        <v>88</v>
      </c>
      <c r="E33">
        <v>5962</v>
      </c>
      <c r="F33">
        <v>4050</v>
      </c>
      <c r="G33" s="63">
        <v>2</v>
      </c>
      <c r="H33" t="s">
        <v>89</v>
      </c>
      <c r="I33" s="58">
        <f t="shared" si="6"/>
        <v>95.779529999999994</v>
      </c>
      <c r="J33" s="59">
        <v>92</v>
      </c>
      <c r="K33">
        <v>56</v>
      </c>
      <c r="L33" s="64" t="s">
        <v>88</v>
      </c>
      <c r="M33" s="58">
        <f t="shared" si="7"/>
        <v>45.069696</v>
      </c>
      <c r="N33" s="64" t="s">
        <v>85</v>
      </c>
      <c r="O33" s="65">
        <f t="shared" si="8"/>
        <v>26.290655999999998</v>
      </c>
      <c r="Q33">
        <v>28</v>
      </c>
    </row>
    <row r="34" spans="1:17">
      <c r="A34">
        <v>31</v>
      </c>
      <c r="B34" t="s">
        <v>86</v>
      </c>
      <c r="C34" t="s">
        <v>87</v>
      </c>
      <c r="D34" t="s">
        <v>88</v>
      </c>
      <c r="E34">
        <v>5962</v>
      </c>
      <c r="F34">
        <v>4000</v>
      </c>
      <c r="G34" s="63">
        <v>3</v>
      </c>
      <c r="H34" t="s">
        <v>89</v>
      </c>
      <c r="I34" s="58">
        <f t="shared" si="6"/>
        <v>94.597066666666663</v>
      </c>
      <c r="J34" s="59">
        <v>92</v>
      </c>
      <c r="K34">
        <v>56</v>
      </c>
      <c r="L34" s="64" t="s">
        <v>88</v>
      </c>
      <c r="M34" s="58">
        <f t="shared" si="7"/>
        <v>44.513280000000002</v>
      </c>
      <c r="N34" s="64" t="s">
        <v>85</v>
      </c>
      <c r="O34" s="65">
        <f t="shared" si="8"/>
        <v>25.966080000000002</v>
      </c>
      <c r="Q34">
        <v>15</v>
      </c>
    </row>
    <row r="35" spans="1:17">
      <c r="A35">
        <v>32</v>
      </c>
      <c r="B35" t="s">
        <v>86</v>
      </c>
      <c r="C35" t="s">
        <v>87</v>
      </c>
      <c r="D35" t="s">
        <v>88</v>
      </c>
      <c r="E35">
        <v>5962</v>
      </c>
      <c r="F35">
        <v>5000</v>
      </c>
      <c r="G35" s="63">
        <v>4</v>
      </c>
      <c r="H35" t="s">
        <v>89</v>
      </c>
      <c r="I35" s="58">
        <f t="shared" si="6"/>
        <v>118.24633333333334</v>
      </c>
      <c r="J35" s="59">
        <v>92</v>
      </c>
      <c r="K35">
        <v>56</v>
      </c>
      <c r="L35" s="64" t="s">
        <v>88</v>
      </c>
      <c r="M35" s="58">
        <f t="shared" si="7"/>
        <v>55.641599999999997</v>
      </c>
      <c r="N35" s="64" t="s">
        <v>85</v>
      </c>
      <c r="O35" s="65">
        <f t="shared" si="8"/>
        <v>32.457599999999999</v>
      </c>
      <c r="Q35">
        <v>16</v>
      </c>
    </row>
    <row r="36" spans="1:17">
      <c r="A36">
        <v>33</v>
      </c>
      <c r="B36" t="s">
        <v>86</v>
      </c>
      <c r="C36" t="s">
        <v>87</v>
      </c>
      <c r="D36" t="s">
        <v>88</v>
      </c>
      <c r="E36">
        <v>5962</v>
      </c>
      <c r="F36">
        <v>4650</v>
      </c>
      <c r="G36" s="63">
        <v>5</v>
      </c>
      <c r="H36" t="s">
        <v>89</v>
      </c>
      <c r="I36" s="58">
        <f t="shared" si="6"/>
        <v>109.96908999999999</v>
      </c>
      <c r="J36" s="59">
        <v>92</v>
      </c>
      <c r="K36">
        <v>56</v>
      </c>
      <c r="L36" s="64" t="s">
        <v>88</v>
      </c>
      <c r="M36" s="58">
        <f t="shared" si="7"/>
        <v>51.746687999999999</v>
      </c>
      <c r="N36" s="64" t="s">
        <v>85</v>
      </c>
      <c r="O36" s="65">
        <f t="shared" si="8"/>
        <v>30.185568</v>
      </c>
      <c r="Q36">
        <v>7</v>
      </c>
    </row>
    <row r="37" spans="1:17">
      <c r="A37">
        <v>34</v>
      </c>
      <c r="B37" t="s">
        <v>86</v>
      </c>
      <c r="C37" t="s">
        <v>87</v>
      </c>
      <c r="D37" t="s">
        <v>88</v>
      </c>
      <c r="E37">
        <v>5962</v>
      </c>
      <c r="F37">
        <v>8000</v>
      </c>
      <c r="G37" s="63">
        <v>6</v>
      </c>
      <c r="H37" t="s">
        <v>89</v>
      </c>
      <c r="I37" s="58">
        <f t="shared" si="6"/>
        <v>189.19413333333333</v>
      </c>
      <c r="J37" s="59">
        <v>92</v>
      </c>
      <c r="K37">
        <v>56</v>
      </c>
      <c r="L37" s="64" t="s">
        <v>88</v>
      </c>
      <c r="M37" s="58">
        <f t="shared" si="7"/>
        <v>89.026560000000003</v>
      </c>
      <c r="N37" s="64" t="s">
        <v>85</v>
      </c>
      <c r="O37" s="65">
        <f t="shared" si="8"/>
        <v>51.932160000000003</v>
      </c>
      <c r="Q37" t="s">
        <v>90</v>
      </c>
    </row>
    <row r="38" spans="1:17">
      <c r="A38">
        <v>35</v>
      </c>
      <c r="B38" t="s">
        <v>86</v>
      </c>
      <c r="C38" t="s">
        <v>87</v>
      </c>
      <c r="D38" t="s">
        <v>88</v>
      </c>
      <c r="E38">
        <v>5962</v>
      </c>
      <c r="F38">
        <v>5200</v>
      </c>
      <c r="G38" s="63">
        <v>7</v>
      </c>
      <c r="H38" t="s">
        <v>89</v>
      </c>
      <c r="I38" s="58">
        <f t="shared" si="6"/>
        <v>122.97618666666666</v>
      </c>
      <c r="J38" s="59">
        <v>92</v>
      </c>
      <c r="K38">
        <v>56</v>
      </c>
      <c r="L38" s="64" t="s">
        <v>88</v>
      </c>
      <c r="M38" s="58">
        <f t="shared" si="7"/>
        <v>57.867263999999999</v>
      </c>
      <c r="N38" s="64" t="s">
        <v>85</v>
      </c>
      <c r="O38" s="65">
        <f t="shared" si="8"/>
        <v>33.755904000000001</v>
      </c>
      <c r="Q38">
        <v>12</v>
      </c>
    </row>
    <row r="39" spans="1:17">
      <c r="A39">
        <v>36</v>
      </c>
      <c r="B39" t="s">
        <v>86</v>
      </c>
      <c r="C39" t="s">
        <v>87</v>
      </c>
      <c r="D39" t="s">
        <v>88</v>
      </c>
      <c r="E39">
        <v>5962</v>
      </c>
      <c r="F39">
        <v>7000</v>
      </c>
      <c r="G39" s="63">
        <v>8</v>
      </c>
      <c r="H39" t="s">
        <v>89</v>
      </c>
      <c r="I39" s="58">
        <f t="shared" si="6"/>
        <v>165.54486666666668</v>
      </c>
      <c r="J39" s="59">
        <v>92</v>
      </c>
      <c r="K39">
        <v>56</v>
      </c>
      <c r="L39" s="64" t="s">
        <v>88</v>
      </c>
      <c r="M39" s="58">
        <f t="shared" si="7"/>
        <v>77.898240000000001</v>
      </c>
      <c r="N39" s="64" t="s">
        <v>85</v>
      </c>
      <c r="O39" s="65">
        <f t="shared" si="8"/>
        <v>45.440640000000002</v>
      </c>
      <c r="Q39">
        <v>13</v>
      </c>
    </row>
    <row r="40" spans="1:17">
      <c r="A40">
        <v>37</v>
      </c>
      <c r="B40" t="s">
        <v>86</v>
      </c>
      <c r="C40" t="s">
        <v>87</v>
      </c>
      <c r="D40" t="s">
        <v>88</v>
      </c>
      <c r="E40">
        <v>5962</v>
      </c>
      <c r="F40">
        <v>6500</v>
      </c>
      <c r="G40" s="63">
        <v>9</v>
      </c>
      <c r="H40" t="s">
        <v>89</v>
      </c>
      <c r="I40" s="58">
        <f t="shared" si="6"/>
        <v>153.72023333333334</v>
      </c>
      <c r="J40" s="59">
        <v>92</v>
      </c>
      <c r="K40">
        <v>56</v>
      </c>
      <c r="L40" s="64" t="s">
        <v>88</v>
      </c>
      <c r="M40" s="58">
        <f t="shared" si="7"/>
        <v>72.33408</v>
      </c>
      <c r="N40" s="64" t="s">
        <v>85</v>
      </c>
      <c r="O40" s="65">
        <f t="shared" si="8"/>
        <v>42.194879999999998</v>
      </c>
      <c r="Q40">
        <v>14</v>
      </c>
    </row>
    <row r="41" spans="1:17">
      <c r="A41">
        <v>38</v>
      </c>
      <c r="B41" t="s">
        <v>86</v>
      </c>
      <c r="C41" t="s">
        <v>87</v>
      </c>
      <c r="D41" t="s">
        <v>88</v>
      </c>
      <c r="E41">
        <v>5962</v>
      </c>
      <c r="F41">
        <v>7500</v>
      </c>
      <c r="G41" s="63">
        <v>10</v>
      </c>
      <c r="H41" t="s">
        <v>89</v>
      </c>
      <c r="I41" s="58">
        <f t="shared" si="6"/>
        <v>177.36949999999999</v>
      </c>
      <c r="J41" s="59">
        <v>92</v>
      </c>
      <c r="K41">
        <v>56</v>
      </c>
      <c r="L41" s="64" t="s">
        <v>88</v>
      </c>
      <c r="M41" s="58">
        <f t="shared" si="7"/>
        <v>83.462400000000002</v>
      </c>
      <c r="N41" s="64" t="s">
        <v>85</v>
      </c>
      <c r="O41" s="65">
        <f t="shared" si="8"/>
        <v>48.686399999999999</v>
      </c>
      <c r="Q41" t="s">
        <v>90</v>
      </c>
    </row>
    <row r="42" spans="1:17">
      <c r="A42">
        <v>39</v>
      </c>
      <c r="B42" t="s">
        <v>86</v>
      </c>
      <c r="C42" t="s">
        <v>87</v>
      </c>
      <c r="D42" t="s">
        <v>88</v>
      </c>
      <c r="E42">
        <v>5962</v>
      </c>
      <c r="F42">
        <v>6500</v>
      </c>
      <c r="G42" s="63">
        <v>11</v>
      </c>
      <c r="H42" t="s">
        <v>89</v>
      </c>
      <c r="I42" s="58">
        <f t="shared" si="6"/>
        <v>153.72023333333334</v>
      </c>
      <c r="J42" s="59">
        <v>92</v>
      </c>
      <c r="K42">
        <v>56</v>
      </c>
      <c r="L42" s="64" t="s">
        <v>88</v>
      </c>
      <c r="M42" s="58">
        <f t="shared" si="7"/>
        <v>72.33408</v>
      </c>
      <c r="N42" s="64" t="s">
        <v>85</v>
      </c>
      <c r="O42" s="65">
        <f t="shared" si="8"/>
        <v>42.194879999999998</v>
      </c>
      <c r="Q42">
        <v>9</v>
      </c>
    </row>
    <row r="43" spans="1:17">
      <c r="A43">
        <v>40</v>
      </c>
      <c r="B43" t="s">
        <v>86</v>
      </c>
      <c r="C43" t="s">
        <v>87</v>
      </c>
      <c r="D43" t="s">
        <v>88</v>
      </c>
      <c r="E43">
        <v>5962</v>
      </c>
      <c r="F43">
        <v>7500</v>
      </c>
      <c r="G43" s="63">
        <v>12</v>
      </c>
      <c r="H43" t="s">
        <v>89</v>
      </c>
      <c r="I43" s="58">
        <f t="shared" si="6"/>
        <v>177.36949999999999</v>
      </c>
      <c r="J43" s="59">
        <v>92</v>
      </c>
      <c r="K43">
        <v>56</v>
      </c>
      <c r="L43" s="64" t="s">
        <v>88</v>
      </c>
      <c r="M43" s="58">
        <f t="shared" si="7"/>
        <v>83.462400000000002</v>
      </c>
      <c r="N43" s="64" t="s">
        <v>85</v>
      </c>
      <c r="O43" s="65">
        <f t="shared" si="8"/>
        <v>48.686399999999999</v>
      </c>
      <c r="Q43" t="s">
        <v>90</v>
      </c>
    </row>
    <row r="44" spans="1:17">
      <c r="A44">
        <v>41</v>
      </c>
      <c r="B44" t="s">
        <v>86</v>
      </c>
      <c r="C44" t="s">
        <v>87</v>
      </c>
      <c r="D44" t="s">
        <v>88</v>
      </c>
      <c r="E44">
        <v>5962</v>
      </c>
      <c r="F44">
        <v>7400</v>
      </c>
      <c r="G44" s="63">
        <v>13</v>
      </c>
      <c r="H44" t="s">
        <v>89</v>
      </c>
      <c r="I44" s="58">
        <f t="shared" si="6"/>
        <v>175.00457333333333</v>
      </c>
      <c r="J44" s="59">
        <v>92</v>
      </c>
      <c r="K44">
        <v>56</v>
      </c>
      <c r="L44" s="64" t="s">
        <v>88</v>
      </c>
      <c r="M44" s="58">
        <f t="shared" si="7"/>
        <v>82.349568000000005</v>
      </c>
      <c r="N44" s="64" t="s">
        <v>85</v>
      </c>
      <c r="O44" s="65">
        <f t="shared" si="8"/>
        <v>48.037247999999998</v>
      </c>
      <c r="Q44" t="s">
        <v>90</v>
      </c>
    </row>
    <row r="45" spans="1:17">
      <c r="B45" t="s">
        <v>78</v>
      </c>
      <c r="J45" s="59"/>
      <c r="O45" s="60"/>
    </row>
    <row r="46" spans="1:17">
      <c r="J46" s="59"/>
      <c r="O46" s="60"/>
    </row>
    <row r="47" spans="1:17">
      <c r="J47" s="59"/>
      <c r="O47" s="60"/>
    </row>
    <row r="48" spans="1:17">
      <c r="J48" s="59"/>
      <c r="O48" s="60"/>
    </row>
    <row r="49" spans="10:15">
      <c r="J49" s="59"/>
      <c r="O49" s="60"/>
    </row>
    <row r="50" spans="10:15">
      <c r="J50" s="59"/>
      <c r="O50" s="60"/>
    </row>
    <row r="51" spans="10:15">
      <c r="J51" s="59"/>
      <c r="O51" s="60"/>
    </row>
    <row r="52" spans="10:15">
      <c r="J52" s="59"/>
      <c r="O52" s="60"/>
    </row>
  </sheetData>
  <autoFilter ref="A3:AC45">
    <filterColumn colId="7"/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5"/>
  <sheetViews>
    <sheetView topLeftCell="A45" zoomScale="85" zoomScaleNormal="85" workbookViewId="0">
      <selection activeCell="Q55" sqref="Q55:Q56"/>
    </sheetView>
  </sheetViews>
  <sheetFormatPr defaultColWidth="8.85546875" defaultRowHeight="15"/>
  <cols>
    <col min="1" max="1" width="4.140625" customWidth="1"/>
    <col min="2" max="2" width="8.140625" customWidth="1"/>
    <col min="3" max="3" width="12.28515625" customWidth="1"/>
    <col min="4" max="4" width="16.5703125" customWidth="1"/>
    <col min="5" max="5" width="31.28515625" bestFit="1" customWidth="1"/>
    <col min="6" max="6" width="17.7109375" bestFit="1" customWidth="1"/>
    <col min="7" max="7" width="26.7109375" bestFit="1" customWidth="1"/>
    <col min="8" max="8" width="14.5703125" bestFit="1" customWidth="1"/>
    <col min="9" max="9" width="9.140625" style="58" customWidth="1"/>
    <col min="10" max="10" width="11.7109375" bestFit="1" customWidth="1"/>
    <col min="11" max="11" width="9.7109375" bestFit="1" customWidth="1"/>
    <col min="12" max="12" width="13.5703125" bestFit="1" customWidth="1"/>
    <col min="13" max="13" width="10.85546875" customWidth="1"/>
    <col min="14" max="14" width="9.7109375" bestFit="1" customWidth="1"/>
    <col min="15" max="15" width="2.7109375" customWidth="1"/>
    <col min="16" max="16" width="13" customWidth="1"/>
    <col min="17" max="17" width="25.7109375" bestFit="1" customWidth="1"/>
    <col min="18" max="18" width="13.5703125" bestFit="1" customWidth="1"/>
    <col min="19" max="19" width="14.42578125" bestFit="1" customWidth="1"/>
    <col min="20" max="20" width="10.7109375" bestFit="1" customWidth="1"/>
    <col min="21" max="22" width="10.5703125" bestFit="1" customWidth="1"/>
    <col min="23" max="23" width="15.7109375" bestFit="1" customWidth="1"/>
    <col min="25" max="25" width="8.140625" customWidth="1"/>
    <col min="26" max="26" width="12.28515625" customWidth="1"/>
    <col min="27" max="27" width="16.5703125" customWidth="1"/>
    <col min="28" max="28" width="26.7109375" bestFit="1" customWidth="1"/>
    <col min="29" max="29" width="14.5703125" bestFit="1" customWidth="1"/>
    <col min="30" max="30" width="7.7109375" customWidth="1"/>
    <col min="31" max="31" width="9.7109375" bestFit="1" customWidth="1"/>
    <col min="32" max="32" width="10.85546875" customWidth="1"/>
    <col min="33" max="33" width="2.7109375" customWidth="1"/>
    <col min="34" max="34" width="11.7109375" bestFit="1" customWidth="1"/>
  </cols>
  <sheetData>
    <row r="1" spans="1:34" ht="15.75" thickBot="1"/>
    <row r="2" spans="1:34" ht="15.75" thickBot="1">
      <c r="B2" s="147" t="s">
        <v>40</v>
      </c>
      <c r="C2" s="147"/>
      <c r="D2" s="9" t="s">
        <v>2</v>
      </c>
      <c r="E2" s="10" t="s">
        <v>3</v>
      </c>
      <c r="F2" s="10" t="s">
        <v>4</v>
      </c>
      <c r="G2" s="10" t="s">
        <v>5</v>
      </c>
      <c r="H2" s="11" t="s">
        <v>6</v>
      </c>
      <c r="I2" s="12" t="s">
        <v>7</v>
      </c>
      <c r="J2" s="12" t="s">
        <v>112</v>
      </c>
      <c r="K2" s="12" t="s">
        <v>8</v>
      </c>
      <c r="L2" s="9" t="s">
        <v>9</v>
      </c>
      <c r="M2" s="13" t="s">
        <v>10</v>
      </c>
      <c r="N2" s="14" t="s">
        <v>11</v>
      </c>
      <c r="O2" s="15"/>
      <c r="P2" s="16" t="s">
        <v>12</v>
      </c>
      <c r="Q2" s="15" t="s">
        <v>13</v>
      </c>
      <c r="R2" s="15" t="s">
        <v>118</v>
      </c>
      <c r="S2" s="10" t="s">
        <v>15</v>
      </c>
      <c r="T2" s="15" t="s">
        <v>16</v>
      </c>
      <c r="U2" s="10"/>
      <c r="V2" s="10" t="s">
        <v>17</v>
      </c>
      <c r="W2" s="17" t="s">
        <v>18</v>
      </c>
      <c r="Y2" s="147" t="s">
        <v>39</v>
      </c>
      <c r="Z2" s="147"/>
    </row>
    <row r="3" spans="1:34" ht="15.75" thickBot="1">
      <c r="A3" t="s">
        <v>113</v>
      </c>
      <c r="B3" s="148" t="s">
        <v>33</v>
      </c>
      <c r="C3" s="148"/>
      <c r="D3" s="1"/>
      <c r="E3" s="2"/>
      <c r="F3" s="2"/>
      <c r="G3" s="2" t="s">
        <v>208</v>
      </c>
      <c r="H3" s="3"/>
      <c r="I3" s="4"/>
      <c r="J3" s="4"/>
      <c r="K3" s="4"/>
      <c r="L3" s="1"/>
      <c r="M3" s="5"/>
      <c r="N3" s="6"/>
      <c r="O3" s="2"/>
      <c r="P3" s="7"/>
      <c r="Q3" s="2"/>
      <c r="R3" s="2"/>
      <c r="S3" s="2"/>
      <c r="T3" s="2"/>
      <c r="U3" s="2"/>
      <c r="V3" s="2"/>
      <c r="W3" s="1"/>
      <c r="Y3" s="148" t="s">
        <v>33</v>
      </c>
      <c r="Z3" s="148"/>
      <c r="AA3" s="1"/>
      <c r="AB3" s="2"/>
      <c r="AC3" s="3"/>
      <c r="AD3" s="4"/>
      <c r="AE3" s="4"/>
      <c r="AF3" s="5"/>
      <c r="AG3" s="2"/>
      <c r="AH3" s="1"/>
    </row>
    <row r="4" spans="1:34" ht="15.75" thickBot="1">
      <c r="A4" t="s">
        <v>113</v>
      </c>
      <c r="B4" s="8" t="s">
        <v>0</v>
      </c>
      <c r="C4" s="9" t="s">
        <v>1</v>
      </c>
      <c r="D4" s="9" t="s">
        <v>2</v>
      </c>
      <c r="E4" s="10" t="s">
        <v>3</v>
      </c>
      <c r="F4" s="10" t="s">
        <v>4</v>
      </c>
      <c r="G4" s="10" t="s">
        <v>5</v>
      </c>
      <c r="H4" s="11" t="s">
        <v>6</v>
      </c>
      <c r="I4" s="12" t="s">
        <v>7</v>
      </c>
      <c r="J4" s="12" t="s">
        <v>112</v>
      </c>
      <c r="K4" s="12" t="s">
        <v>8</v>
      </c>
      <c r="L4" s="9" t="s">
        <v>9</v>
      </c>
      <c r="M4" s="13" t="s">
        <v>10</v>
      </c>
      <c r="N4" s="14" t="s">
        <v>11</v>
      </c>
      <c r="O4" s="15"/>
      <c r="P4" s="16" t="s">
        <v>12</v>
      </c>
      <c r="Q4" s="15" t="s">
        <v>13</v>
      </c>
      <c r="R4" s="15" t="s">
        <v>14</v>
      </c>
      <c r="S4" s="10" t="s">
        <v>15</v>
      </c>
      <c r="T4" s="15" t="s">
        <v>16</v>
      </c>
      <c r="U4" s="10"/>
      <c r="V4" s="10" t="s">
        <v>17</v>
      </c>
      <c r="W4" s="17" t="s">
        <v>18</v>
      </c>
      <c r="Y4" s="8" t="s">
        <v>0</v>
      </c>
      <c r="Z4" s="9" t="s">
        <v>1</v>
      </c>
      <c r="AA4" s="9" t="s">
        <v>2</v>
      </c>
      <c r="AB4" s="10" t="s">
        <v>5</v>
      </c>
      <c r="AC4" s="11" t="s">
        <v>6</v>
      </c>
      <c r="AD4" s="12" t="s">
        <v>7</v>
      </c>
      <c r="AE4" s="12" t="s">
        <v>8</v>
      </c>
      <c r="AF4" s="13" t="s">
        <v>10</v>
      </c>
      <c r="AG4" s="15"/>
      <c r="AH4" s="17" t="s">
        <v>18</v>
      </c>
    </row>
    <row r="5" spans="1:34">
      <c r="A5" t="s">
        <v>113</v>
      </c>
      <c r="B5" s="18">
        <v>1</v>
      </c>
      <c r="C5" s="1"/>
      <c r="D5" s="115">
        <v>46115</v>
      </c>
      <c r="E5" s="116" t="s">
        <v>212</v>
      </c>
      <c r="F5" s="116"/>
      <c r="G5" s="116" t="s">
        <v>167</v>
      </c>
      <c r="H5" s="117">
        <v>496.1</v>
      </c>
      <c r="I5" s="118">
        <v>333.33300000000003</v>
      </c>
      <c r="J5" s="4">
        <f>H5*I5</f>
        <v>165366.50130000003</v>
      </c>
      <c r="K5" s="4">
        <f>I5*1.05</f>
        <v>349.99965000000003</v>
      </c>
      <c r="L5" s="1">
        <f t="shared" ref="L5" si="0">D5+15</f>
        <v>46130</v>
      </c>
      <c r="M5" s="121">
        <f t="shared" ref="M5" si="1">H5*K5</f>
        <v>173634.82636500002</v>
      </c>
      <c r="N5" s="22" t="s">
        <v>97</v>
      </c>
      <c r="O5" s="2"/>
      <c r="P5" s="7">
        <f>DAYS360(L5,W5)-(1)</f>
        <v>25</v>
      </c>
      <c r="Q5" s="66"/>
      <c r="R5" s="2"/>
      <c r="S5" s="116" t="s">
        <v>234</v>
      </c>
      <c r="T5" s="2"/>
      <c r="U5" s="2"/>
      <c r="V5" s="1"/>
      <c r="W5" s="23">
        <v>46156</v>
      </c>
      <c r="Y5" s="18">
        <v>1</v>
      </c>
      <c r="Z5" s="1"/>
      <c r="AA5" s="1"/>
      <c r="AB5" s="2"/>
      <c r="AC5" s="20"/>
      <c r="AD5" s="4"/>
      <c r="AE5" s="4"/>
      <c r="AF5" s="21"/>
      <c r="AG5" s="2"/>
      <c r="AH5" s="23"/>
    </row>
    <row r="6" spans="1:34">
      <c r="A6" t="s">
        <v>113</v>
      </c>
      <c r="B6" s="18">
        <v>2</v>
      </c>
      <c r="C6" s="1"/>
      <c r="D6" s="115">
        <v>46115</v>
      </c>
      <c r="E6" s="116" t="s">
        <v>215</v>
      </c>
      <c r="F6" s="116"/>
      <c r="G6" s="116" t="s">
        <v>182</v>
      </c>
      <c r="H6" s="117">
        <v>103.97</v>
      </c>
      <c r="I6" s="118">
        <v>328.57</v>
      </c>
      <c r="J6" s="4">
        <f t="shared" ref="J6:J23" si="2">H6*I6</f>
        <v>34161.422899999998</v>
      </c>
      <c r="K6" s="4">
        <f t="shared" ref="K6:K23" si="3">I6*1.05</f>
        <v>344.99850000000004</v>
      </c>
      <c r="L6" s="1">
        <f>D6+45</f>
        <v>46160</v>
      </c>
      <c r="M6" s="104">
        <f t="shared" ref="M6:M23" si="4">H6*K6</f>
        <v>35869.494045000007</v>
      </c>
      <c r="N6" s="25">
        <v>35870</v>
      </c>
      <c r="O6" s="2"/>
      <c r="P6" s="7">
        <f t="shared" ref="P6:P27" ca="1" si="5">DAYS360(L6,TODAY())-(1)</f>
        <v>28</v>
      </c>
      <c r="Q6" s="2"/>
      <c r="R6" s="2"/>
      <c r="S6" s="116" t="s">
        <v>235</v>
      </c>
      <c r="T6" s="2"/>
      <c r="U6" s="2"/>
      <c r="V6" s="2"/>
      <c r="W6" s="23"/>
      <c r="Y6" s="18"/>
      <c r="Z6" s="1"/>
      <c r="AA6" s="1"/>
      <c r="AB6" s="2"/>
      <c r="AC6" s="3"/>
      <c r="AD6" s="4"/>
      <c r="AE6" s="4"/>
      <c r="AF6" s="24"/>
      <c r="AG6" s="2"/>
      <c r="AH6" s="23"/>
    </row>
    <row r="7" spans="1:34">
      <c r="A7" t="s">
        <v>113</v>
      </c>
      <c r="B7" s="18">
        <v>3</v>
      </c>
      <c r="C7" s="1"/>
      <c r="D7" s="115">
        <v>46117</v>
      </c>
      <c r="E7" s="116" t="s">
        <v>215</v>
      </c>
      <c r="F7" s="116"/>
      <c r="G7" s="116" t="s">
        <v>182</v>
      </c>
      <c r="H7" s="117">
        <v>97.2</v>
      </c>
      <c r="I7" s="118">
        <v>328.57</v>
      </c>
      <c r="J7" s="4">
        <f t="shared" si="2"/>
        <v>31937.004000000001</v>
      </c>
      <c r="K7" s="4">
        <f t="shared" si="3"/>
        <v>344.99850000000004</v>
      </c>
      <c r="L7" s="1">
        <f t="shared" ref="L7:L8" si="6">D7+45</f>
        <v>46162</v>
      </c>
      <c r="M7" s="104">
        <f t="shared" si="4"/>
        <v>33533.854200000002</v>
      </c>
      <c r="N7" s="25">
        <v>33534</v>
      </c>
      <c r="O7" s="2"/>
      <c r="P7" s="7">
        <f t="shared" ca="1" si="5"/>
        <v>26</v>
      </c>
      <c r="Q7" s="2"/>
      <c r="R7" s="2"/>
      <c r="S7" s="116" t="s">
        <v>236</v>
      </c>
      <c r="T7" s="2"/>
      <c r="U7" s="2"/>
      <c r="V7" s="2"/>
      <c r="W7" s="23"/>
      <c r="Y7" s="18"/>
      <c r="Z7" s="1"/>
      <c r="AA7" s="1"/>
      <c r="AB7" s="2"/>
      <c r="AC7" s="3"/>
      <c r="AD7" s="4"/>
      <c r="AE7" s="4"/>
      <c r="AF7" s="24"/>
      <c r="AG7" s="2"/>
      <c r="AH7" s="23"/>
    </row>
    <row r="8" spans="1:34">
      <c r="A8" t="s">
        <v>113</v>
      </c>
      <c r="B8" s="18">
        <v>4</v>
      </c>
      <c r="C8" s="1"/>
      <c r="D8" s="115">
        <v>46120</v>
      </c>
      <c r="E8" s="116" t="s">
        <v>215</v>
      </c>
      <c r="F8" s="116"/>
      <c r="G8" s="119" t="s">
        <v>182</v>
      </c>
      <c r="H8" s="117">
        <v>79.33</v>
      </c>
      <c r="I8" s="118">
        <v>328.57</v>
      </c>
      <c r="J8" s="4">
        <f t="shared" si="2"/>
        <v>26065.4581</v>
      </c>
      <c r="K8" s="4">
        <f t="shared" si="3"/>
        <v>344.99850000000004</v>
      </c>
      <c r="L8" s="1">
        <f t="shared" si="6"/>
        <v>46165</v>
      </c>
      <c r="M8" s="104">
        <f t="shared" si="4"/>
        <v>27368.731005000001</v>
      </c>
      <c r="N8" s="25">
        <v>27369</v>
      </c>
      <c r="O8" s="2"/>
      <c r="P8" s="7">
        <f t="shared" ca="1" si="5"/>
        <v>23</v>
      </c>
      <c r="Q8" s="2"/>
      <c r="R8" s="2"/>
      <c r="S8" s="116" t="s">
        <v>237</v>
      </c>
      <c r="T8" s="2"/>
      <c r="U8" s="2"/>
      <c r="V8" s="2"/>
      <c r="W8" s="23"/>
      <c r="Y8" s="18"/>
      <c r="Z8" s="1"/>
      <c r="AA8" s="1"/>
      <c r="AB8" s="2"/>
      <c r="AC8" s="3"/>
      <c r="AD8" s="4"/>
      <c r="AE8" s="4"/>
      <c r="AF8" s="24"/>
      <c r="AG8" s="2"/>
      <c r="AH8" s="23"/>
    </row>
    <row r="9" spans="1:34">
      <c r="A9" t="s">
        <v>113</v>
      </c>
      <c r="B9" s="18">
        <v>5</v>
      </c>
      <c r="C9" s="1"/>
      <c r="D9" s="115">
        <v>46121</v>
      </c>
      <c r="E9" s="116" t="s">
        <v>252</v>
      </c>
      <c r="F9" s="116"/>
      <c r="G9" s="116" t="s">
        <v>85</v>
      </c>
      <c r="H9" s="117">
        <v>320</v>
      </c>
      <c r="I9" s="118">
        <v>312</v>
      </c>
      <c r="J9" s="4">
        <f t="shared" si="2"/>
        <v>99840</v>
      </c>
      <c r="K9" s="4">
        <f t="shared" si="3"/>
        <v>327.60000000000002</v>
      </c>
      <c r="L9" s="1">
        <f t="shared" ref="L9:L23" si="7">D9+15</f>
        <v>46136</v>
      </c>
      <c r="M9" s="121">
        <f t="shared" si="4"/>
        <v>104832</v>
      </c>
      <c r="N9" s="22" t="s">
        <v>97</v>
      </c>
      <c r="O9" s="2"/>
      <c r="P9" s="7">
        <f>DAYS360(L9,W9)-(1)</f>
        <v>1</v>
      </c>
      <c r="Q9" s="2"/>
      <c r="R9" s="2"/>
      <c r="S9" s="116" t="s">
        <v>238</v>
      </c>
      <c r="T9" s="2"/>
      <c r="U9" s="2"/>
      <c r="V9" s="2"/>
      <c r="W9" s="23">
        <v>46138</v>
      </c>
      <c r="Y9" s="18"/>
      <c r="Z9" s="1"/>
      <c r="AA9" s="1"/>
      <c r="AB9" s="2"/>
      <c r="AC9" s="3"/>
      <c r="AD9" s="4"/>
      <c r="AE9" s="4"/>
      <c r="AF9" s="24"/>
      <c r="AG9" s="2"/>
      <c r="AH9" s="23"/>
    </row>
    <row r="10" spans="1:34">
      <c r="A10" t="s">
        <v>113</v>
      </c>
      <c r="B10" s="18">
        <v>6</v>
      </c>
      <c r="C10" s="1"/>
      <c r="D10" s="115">
        <v>46122</v>
      </c>
      <c r="E10" s="116" t="s">
        <v>215</v>
      </c>
      <c r="F10" s="116"/>
      <c r="G10" s="116" t="s">
        <v>182</v>
      </c>
      <c r="H10" s="117">
        <v>97.76</v>
      </c>
      <c r="I10" s="118">
        <v>328.57</v>
      </c>
      <c r="J10" s="4">
        <f t="shared" si="2"/>
        <v>32121.003199999999</v>
      </c>
      <c r="K10" s="4">
        <f t="shared" si="3"/>
        <v>344.99850000000004</v>
      </c>
      <c r="L10" s="1">
        <f>D10+45</f>
        <v>46167</v>
      </c>
      <c r="M10" s="104">
        <f t="shared" si="4"/>
        <v>33727.053360000005</v>
      </c>
      <c r="N10" s="25">
        <v>33727</v>
      </c>
      <c r="O10" s="2"/>
      <c r="P10" s="7">
        <f t="shared" ca="1" si="5"/>
        <v>21</v>
      </c>
      <c r="Q10" s="2"/>
      <c r="R10" s="2"/>
      <c r="S10" s="116" t="s">
        <v>239</v>
      </c>
      <c r="T10" s="2"/>
      <c r="U10" s="2"/>
      <c r="V10" s="2"/>
      <c r="W10" s="23"/>
      <c r="Y10" s="18"/>
      <c r="Z10" s="1"/>
      <c r="AA10" s="1"/>
      <c r="AB10" s="2"/>
      <c r="AC10" s="3"/>
      <c r="AD10" s="4"/>
      <c r="AE10" s="4"/>
      <c r="AF10" s="24"/>
      <c r="AG10" s="2"/>
      <c r="AH10" s="23"/>
    </row>
    <row r="11" spans="1:34">
      <c r="A11" t="s">
        <v>113</v>
      </c>
      <c r="B11" s="18">
        <v>7</v>
      </c>
      <c r="C11" s="1"/>
      <c r="D11" s="115">
        <v>46122</v>
      </c>
      <c r="E11" s="116" t="s">
        <v>91</v>
      </c>
      <c r="F11" s="116"/>
      <c r="G11" s="116" t="s">
        <v>85</v>
      </c>
      <c r="H11" s="117">
        <v>384</v>
      </c>
      <c r="I11" s="118">
        <v>317</v>
      </c>
      <c r="J11" s="4">
        <f t="shared" si="2"/>
        <v>121728</v>
      </c>
      <c r="K11" s="4">
        <f t="shared" si="3"/>
        <v>332.85</v>
      </c>
      <c r="L11" s="1">
        <f t="shared" si="7"/>
        <v>46137</v>
      </c>
      <c r="M11" s="121">
        <f t="shared" si="4"/>
        <v>127814.40000000001</v>
      </c>
      <c r="N11" s="22" t="s">
        <v>97</v>
      </c>
      <c r="O11" s="2"/>
      <c r="P11" s="7">
        <f>DAYS360(L11,W11)-(1)</f>
        <v>18</v>
      </c>
      <c r="Q11" s="66">
        <f t="shared" ref="Q11" si="8">0.18*P11*M11/365</f>
        <v>1134.5716602739726</v>
      </c>
      <c r="R11" s="2"/>
      <c r="S11" s="116" t="s">
        <v>240</v>
      </c>
      <c r="T11" s="2"/>
      <c r="U11" s="2"/>
      <c r="V11" s="2"/>
      <c r="W11" s="23">
        <v>46156</v>
      </c>
      <c r="Y11" s="18"/>
      <c r="Z11" s="1"/>
      <c r="AA11" s="1"/>
      <c r="AB11" s="2"/>
      <c r="AC11" s="3"/>
      <c r="AD11" s="4"/>
      <c r="AE11" s="4"/>
      <c r="AF11" s="24"/>
      <c r="AG11" s="2"/>
      <c r="AH11" s="23"/>
    </row>
    <row r="12" spans="1:34">
      <c r="A12" t="s">
        <v>113</v>
      </c>
      <c r="B12" s="18">
        <v>8</v>
      </c>
      <c r="C12" s="1"/>
      <c r="D12" s="115">
        <v>46123</v>
      </c>
      <c r="E12" s="116" t="s">
        <v>215</v>
      </c>
      <c r="F12" s="116"/>
      <c r="G12" s="116" t="s">
        <v>182</v>
      </c>
      <c r="H12" s="117">
        <v>56.87</v>
      </c>
      <c r="I12" s="118">
        <v>328.57</v>
      </c>
      <c r="J12" s="4">
        <f t="shared" si="2"/>
        <v>18685.775900000001</v>
      </c>
      <c r="K12" s="4">
        <f t="shared" si="3"/>
        <v>344.99850000000004</v>
      </c>
      <c r="L12" s="1">
        <f t="shared" ref="L12:L19" si="9">D12+45</f>
        <v>46168</v>
      </c>
      <c r="M12" s="104">
        <f t="shared" si="4"/>
        <v>19620.064695000001</v>
      </c>
      <c r="N12" s="25">
        <v>19620</v>
      </c>
      <c r="O12" s="2"/>
      <c r="P12" s="7">
        <f t="shared" ca="1" si="5"/>
        <v>20</v>
      </c>
      <c r="Q12" s="2"/>
      <c r="R12" s="2"/>
      <c r="S12" s="116" t="s">
        <v>241</v>
      </c>
      <c r="T12" s="2"/>
      <c r="U12" s="2"/>
      <c r="V12" s="2"/>
      <c r="W12" s="23"/>
      <c r="Y12" s="18"/>
      <c r="Z12" s="1"/>
      <c r="AA12" s="1"/>
      <c r="AB12" s="2"/>
      <c r="AC12" s="3"/>
      <c r="AD12" s="4"/>
      <c r="AE12" s="4"/>
      <c r="AF12" s="24"/>
      <c r="AG12" s="2"/>
      <c r="AH12" s="23"/>
    </row>
    <row r="13" spans="1:34">
      <c r="A13" t="s">
        <v>270</v>
      </c>
      <c r="B13" s="18">
        <v>9</v>
      </c>
      <c r="C13" s="1"/>
      <c r="D13" s="115">
        <v>46125</v>
      </c>
      <c r="E13" s="119" t="s">
        <v>261</v>
      </c>
      <c r="F13" s="116"/>
      <c r="G13" s="119" t="s">
        <v>262</v>
      </c>
      <c r="H13" s="117">
        <v>418.32</v>
      </c>
      <c r="I13" s="118">
        <v>285</v>
      </c>
      <c r="J13" s="4">
        <f t="shared" si="2"/>
        <v>119221.2</v>
      </c>
      <c r="K13" s="4">
        <f t="shared" si="3"/>
        <v>299.25</v>
      </c>
      <c r="L13" s="1">
        <f t="shared" si="9"/>
        <v>46170</v>
      </c>
      <c r="M13" s="104">
        <f t="shared" si="4"/>
        <v>125182.26</v>
      </c>
      <c r="N13" s="25">
        <v>125182</v>
      </c>
      <c r="O13" s="2"/>
      <c r="P13" s="7">
        <f t="shared" ca="1" si="5"/>
        <v>18</v>
      </c>
      <c r="Q13" s="2"/>
      <c r="R13" s="2"/>
      <c r="S13" s="119" t="s">
        <v>271</v>
      </c>
      <c r="T13" s="2"/>
      <c r="U13" s="2"/>
      <c r="V13" s="2"/>
      <c r="W13" s="23"/>
      <c r="Y13" s="18"/>
      <c r="Z13" s="1"/>
      <c r="AA13" s="1"/>
      <c r="AB13" s="2"/>
      <c r="AC13" s="3"/>
      <c r="AD13" s="4"/>
      <c r="AE13" s="4"/>
      <c r="AF13" s="24"/>
      <c r="AG13" s="2"/>
      <c r="AH13" s="23"/>
    </row>
    <row r="14" spans="1:34">
      <c r="A14" t="s">
        <v>113</v>
      </c>
      <c r="B14" s="18">
        <v>10</v>
      </c>
      <c r="C14" s="1"/>
      <c r="D14" s="115">
        <v>46125</v>
      </c>
      <c r="E14" s="116" t="s">
        <v>215</v>
      </c>
      <c r="F14" s="116"/>
      <c r="G14" s="116" t="s">
        <v>182</v>
      </c>
      <c r="H14" s="117">
        <v>104.39</v>
      </c>
      <c r="I14" s="118">
        <v>328.57</v>
      </c>
      <c r="J14" s="4">
        <f t="shared" si="2"/>
        <v>34299.422299999998</v>
      </c>
      <c r="K14" s="4">
        <f t="shared" si="3"/>
        <v>344.99850000000004</v>
      </c>
      <c r="L14" s="1">
        <f t="shared" si="9"/>
        <v>46170</v>
      </c>
      <c r="M14" s="104">
        <f t="shared" si="4"/>
        <v>36014.393415000006</v>
      </c>
      <c r="N14" s="25">
        <v>36014</v>
      </c>
      <c r="O14" s="2"/>
      <c r="P14" s="7">
        <f t="shared" ca="1" si="5"/>
        <v>18</v>
      </c>
      <c r="Q14" s="2"/>
      <c r="R14" s="2"/>
      <c r="S14" s="116" t="s">
        <v>242</v>
      </c>
      <c r="T14" s="2"/>
      <c r="U14" s="2"/>
      <c r="V14" s="2"/>
      <c r="W14" s="23"/>
      <c r="Y14" s="18"/>
      <c r="Z14" s="1"/>
      <c r="AA14" s="1"/>
      <c r="AB14" s="2"/>
      <c r="AC14" s="3"/>
      <c r="AD14" s="4"/>
      <c r="AE14" s="4"/>
      <c r="AF14" s="24"/>
      <c r="AG14" s="2"/>
      <c r="AH14" s="23"/>
    </row>
    <row r="15" spans="1:34">
      <c r="A15" t="s">
        <v>113</v>
      </c>
      <c r="B15" s="18">
        <v>11</v>
      </c>
      <c r="C15" s="1"/>
      <c r="D15" s="115">
        <v>46126</v>
      </c>
      <c r="E15" s="116" t="s">
        <v>215</v>
      </c>
      <c r="F15" s="116"/>
      <c r="G15" s="116" t="s">
        <v>182</v>
      </c>
      <c r="H15" s="117">
        <v>115.24</v>
      </c>
      <c r="I15" s="118">
        <v>328.57</v>
      </c>
      <c r="J15" s="4">
        <f t="shared" si="2"/>
        <v>37864.406799999997</v>
      </c>
      <c r="K15" s="4">
        <f t="shared" si="3"/>
        <v>344.99850000000004</v>
      </c>
      <c r="L15" s="1">
        <f t="shared" si="9"/>
        <v>46171</v>
      </c>
      <c r="M15" s="104">
        <f t="shared" si="4"/>
        <v>39757.627140000004</v>
      </c>
      <c r="N15" s="25">
        <v>39758</v>
      </c>
      <c r="O15" s="2"/>
      <c r="P15" s="7">
        <f t="shared" ca="1" si="5"/>
        <v>17</v>
      </c>
      <c r="Q15" s="2"/>
      <c r="R15" s="2"/>
      <c r="S15" s="116" t="s">
        <v>243</v>
      </c>
      <c r="T15" s="2"/>
      <c r="U15" s="2"/>
      <c r="V15" s="2"/>
      <c r="W15" s="23"/>
      <c r="Y15" s="18"/>
      <c r="Z15" s="1"/>
      <c r="AA15" s="1"/>
      <c r="AB15" s="2"/>
      <c r="AC15" s="3"/>
      <c r="AD15" s="4"/>
      <c r="AE15" s="4"/>
      <c r="AF15" s="24"/>
      <c r="AG15" s="2"/>
      <c r="AH15" s="23"/>
    </row>
    <row r="16" spans="1:34">
      <c r="A16" t="s">
        <v>113</v>
      </c>
      <c r="B16" s="18">
        <v>12</v>
      </c>
      <c r="C16" s="1"/>
      <c r="D16" s="115">
        <v>46127</v>
      </c>
      <c r="E16" s="116" t="s">
        <v>215</v>
      </c>
      <c r="F16" s="116"/>
      <c r="G16" s="116" t="s">
        <v>182</v>
      </c>
      <c r="H16" s="117">
        <v>91.44</v>
      </c>
      <c r="I16" s="118">
        <v>328.57</v>
      </c>
      <c r="J16" s="4">
        <f t="shared" si="2"/>
        <v>30044.4408</v>
      </c>
      <c r="K16" s="4">
        <f t="shared" si="3"/>
        <v>344.99850000000004</v>
      </c>
      <c r="L16" s="1">
        <f t="shared" si="9"/>
        <v>46172</v>
      </c>
      <c r="M16" s="104">
        <f t="shared" si="4"/>
        <v>31546.662840000001</v>
      </c>
      <c r="N16" s="25">
        <v>31547</v>
      </c>
      <c r="O16" s="2"/>
      <c r="P16" s="7">
        <f t="shared" ca="1" si="5"/>
        <v>16</v>
      </c>
      <c r="Q16" s="2"/>
      <c r="R16" s="2"/>
      <c r="S16" s="116" t="s">
        <v>244</v>
      </c>
      <c r="T16" s="2"/>
      <c r="U16" s="2"/>
      <c r="V16" s="2"/>
      <c r="W16" s="23"/>
      <c r="Y16" s="18"/>
      <c r="Z16" s="1"/>
      <c r="AA16" s="1"/>
      <c r="AB16" s="2"/>
      <c r="AC16" s="3"/>
      <c r="AD16" s="4"/>
      <c r="AE16" s="4"/>
      <c r="AF16" s="24"/>
      <c r="AG16" s="2"/>
      <c r="AH16" s="23"/>
    </row>
    <row r="17" spans="1:34">
      <c r="A17" t="s">
        <v>113</v>
      </c>
      <c r="B17" s="18">
        <v>13</v>
      </c>
      <c r="C17" s="1"/>
      <c r="D17" s="115">
        <v>46129</v>
      </c>
      <c r="E17" s="116" t="s">
        <v>215</v>
      </c>
      <c r="F17" s="116"/>
      <c r="G17" s="116" t="s">
        <v>182</v>
      </c>
      <c r="H17" s="117">
        <v>58.46</v>
      </c>
      <c r="I17" s="118">
        <v>328.57</v>
      </c>
      <c r="J17" s="4">
        <f t="shared" si="2"/>
        <v>19208.2022</v>
      </c>
      <c r="K17" s="4">
        <f t="shared" si="3"/>
        <v>344.99850000000004</v>
      </c>
      <c r="L17" s="1">
        <f t="shared" si="9"/>
        <v>46174</v>
      </c>
      <c r="M17" s="104">
        <f t="shared" si="4"/>
        <v>20168.612310000004</v>
      </c>
      <c r="N17" s="25">
        <v>20169</v>
      </c>
      <c r="O17" s="2"/>
      <c r="P17" s="7">
        <f t="shared" ca="1" si="5"/>
        <v>15</v>
      </c>
      <c r="Q17" s="2"/>
      <c r="R17" s="2"/>
      <c r="S17" s="116" t="s">
        <v>245</v>
      </c>
      <c r="T17" s="2"/>
      <c r="U17" s="2"/>
      <c r="V17" s="2"/>
      <c r="W17" s="23"/>
      <c r="Y17" s="18"/>
      <c r="Z17" s="1"/>
      <c r="AA17" s="1"/>
      <c r="AB17" s="2"/>
      <c r="AC17" s="3"/>
      <c r="AD17" s="4"/>
      <c r="AE17" s="4"/>
      <c r="AF17" s="24"/>
      <c r="AG17" s="2"/>
      <c r="AH17" s="23"/>
    </row>
    <row r="18" spans="1:34">
      <c r="A18" t="s">
        <v>113</v>
      </c>
      <c r="B18" s="18">
        <v>14</v>
      </c>
      <c r="C18" s="1"/>
      <c r="D18" s="115">
        <v>46130</v>
      </c>
      <c r="E18" s="116" t="s">
        <v>215</v>
      </c>
      <c r="F18" s="116"/>
      <c r="G18" s="116" t="s">
        <v>182</v>
      </c>
      <c r="H18" s="117">
        <v>75</v>
      </c>
      <c r="I18" s="118">
        <v>328.57</v>
      </c>
      <c r="J18" s="4">
        <f t="shared" si="2"/>
        <v>24642.75</v>
      </c>
      <c r="K18" s="4">
        <f t="shared" si="3"/>
        <v>344.99850000000004</v>
      </c>
      <c r="L18" s="1">
        <f t="shared" si="9"/>
        <v>46175</v>
      </c>
      <c r="M18" s="104">
        <f t="shared" si="4"/>
        <v>25874.887500000004</v>
      </c>
      <c r="N18" s="25">
        <v>25875</v>
      </c>
      <c r="O18" s="2"/>
      <c r="P18" s="7">
        <f t="shared" ca="1" si="5"/>
        <v>14</v>
      </c>
      <c r="Q18" s="2"/>
      <c r="R18" s="2"/>
      <c r="S18" s="116" t="s">
        <v>246</v>
      </c>
      <c r="T18" s="2"/>
      <c r="U18" s="2"/>
      <c r="V18" s="2"/>
      <c r="W18" s="23"/>
      <c r="Y18" s="18"/>
      <c r="Z18" s="1"/>
      <c r="AA18" s="1"/>
      <c r="AB18" s="2"/>
      <c r="AC18" s="3"/>
      <c r="AD18" s="4"/>
      <c r="AE18" s="4"/>
      <c r="AF18" s="24"/>
      <c r="AG18" s="2"/>
      <c r="AH18" s="23"/>
    </row>
    <row r="19" spans="1:34">
      <c r="A19" t="s">
        <v>113</v>
      </c>
      <c r="B19" s="18">
        <v>15</v>
      </c>
      <c r="C19" s="1"/>
      <c r="D19" s="115">
        <v>46131</v>
      </c>
      <c r="E19" s="116" t="s">
        <v>215</v>
      </c>
      <c r="F19" s="116"/>
      <c r="G19" s="116" t="s">
        <v>182</v>
      </c>
      <c r="H19" s="117">
        <v>55.93</v>
      </c>
      <c r="I19" s="118">
        <v>328.57</v>
      </c>
      <c r="J19" s="4">
        <f t="shared" si="2"/>
        <v>18376.920099999999</v>
      </c>
      <c r="K19" s="4">
        <f t="shared" si="3"/>
        <v>344.99850000000004</v>
      </c>
      <c r="L19" s="1">
        <f t="shared" si="9"/>
        <v>46176</v>
      </c>
      <c r="M19" s="104">
        <f t="shared" si="4"/>
        <v>19295.766105000002</v>
      </c>
      <c r="N19" s="25">
        <v>19296</v>
      </c>
      <c r="O19" s="2"/>
      <c r="P19" s="7">
        <f t="shared" ca="1" si="5"/>
        <v>13</v>
      </c>
      <c r="Q19" s="2"/>
      <c r="R19" s="2"/>
      <c r="S19" s="116" t="s">
        <v>247</v>
      </c>
      <c r="T19" s="2"/>
      <c r="U19" s="2"/>
      <c r="V19" s="2"/>
      <c r="W19" s="23"/>
      <c r="Y19" s="18"/>
      <c r="Z19" s="1"/>
      <c r="AA19" s="1"/>
      <c r="AB19" s="2"/>
      <c r="AC19" s="3"/>
      <c r="AD19" s="4"/>
      <c r="AE19" s="4"/>
      <c r="AF19" s="24"/>
      <c r="AG19" s="2"/>
      <c r="AH19" s="23"/>
    </row>
    <row r="20" spans="1:34">
      <c r="A20" t="s">
        <v>113</v>
      </c>
      <c r="B20" s="18">
        <v>16</v>
      </c>
      <c r="C20" s="1"/>
      <c r="D20" s="115">
        <v>46141</v>
      </c>
      <c r="E20" s="116" t="s">
        <v>177</v>
      </c>
      <c r="F20" s="116"/>
      <c r="G20" s="119" t="s">
        <v>182</v>
      </c>
      <c r="H20" s="117">
        <v>500</v>
      </c>
      <c r="I20" s="118">
        <v>340</v>
      </c>
      <c r="J20" s="4">
        <f t="shared" si="2"/>
        <v>170000</v>
      </c>
      <c r="K20" s="4">
        <f t="shared" si="3"/>
        <v>357</v>
      </c>
      <c r="L20" s="1">
        <f>D20+45</f>
        <v>46186</v>
      </c>
      <c r="M20" s="104">
        <f t="shared" si="4"/>
        <v>178500</v>
      </c>
      <c r="N20" s="25">
        <v>178500</v>
      </c>
      <c r="O20" s="2"/>
      <c r="P20" s="7">
        <f t="shared" ca="1" si="5"/>
        <v>3</v>
      </c>
      <c r="Q20" s="2"/>
      <c r="R20" s="2"/>
      <c r="S20" s="116" t="s">
        <v>248</v>
      </c>
      <c r="T20" s="2"/>
      <c r="U20" s="2"/>
      <c r="V20" s="2"/>
      <c r="W20" s="23"/>
      <c r="Y20" s="18"/>
      <c r="Z20" s="1"/>
      <c r="AA20" s="1"/>
      <c r="AB20" s="2"/>
      <c r="AC20" s="3"/>
      <c r="AD20" s="4"/>
      <c r="AE20" s="4"/>
      <c r="AF20" s="24"/>
      <c r="AG20" s="2"/>
      <c r="AH20" s="23"/>
    </row>
    <row r="21" spans="1:34">
      <c r="A21" t="s">
        <v>113</v>
      </c>
      <c r="B21" s="18">
        <v>17</v>
      </c>
      <c r="C21" s="1"/>
      <c r="D21" s="115">
        <v>46144</v>
      </c>
      <c r="E21" s="116" t="s">
        <v>94</v>
      </c>
      <c r="F21" s="116"/>
      <c r="G21" s="116" t="s">
        <v>166</v>
      </c>
      <c r="H21" s="117">
        <v>1546.27</v>
      </c>
      <c r="I21" s="118">
        <v>198.2</v>
      </c>
      <c r="J21" s="4">
        <f t="shared" si="2"/>
        <v>306470.71399999998</v>
      </c>
      <c r="K21" s="4">
        <f t="shared" si="3"/>
        <v>208.10999999999999</v>
      </c>
      <c r="L21" s="1">
        <f t="shared" si="7"/>
        <v>46159</v>
      </c>
      <c r="M21" s="104">
        <f t="shared" si="4"/>
        <v>321794.24969999999</v>
      </c>
      <c r="N21" s="25">
        <v>321794</v>
      </c>
      <c r="O21" s="2"/>
      <c r="P21" s="7">
        <f t="shared" ca="1" si="5"/>
        <v>29</v>
      </c>
      <c r="Q21" s="2"/>
      <c r="R21" s="2"/>
      <c r="S21" s="116" t="s">
        <v>249</v>
      </c>
      <c r="T21" s="2"/>
      <c r="U21" s="2"/>
      <c r="V21" s="2"/>
      <c r="W21" s="23"/>
      <c r="Y21" s="18"/>
      <c r="Z21" s="1"/>
      <c r="AA21" s="1"/>
      <c r="AB21" s="2"/>
      <c r="AC21" s="3"/>
      <c r="AD21" s="4"/>
      <c r="AE21" s="4"/>
      <c r="AF21" s="24"/>
      <c r="AG21" s="2"/>
      <c r="AH21" s="23"/>
    </row>
    <row r="22" spans="1:34">
      <c r="A22" t="s">
        <v>113</v>
      </c>
      <c r="B22" s="18">
        <v>18</v>
      </c>
      <c r="C22" s="1"/>
      <c r="D22" s="115">
        <v>46146</v>
      </c>
      <c r="E22" s="116" t="s">
        <v>94</v>
      </c>
      <c r="F22" s="116"/>
      <c r="G22" s="116" t="s">
        <v>166</v>
      </c>
      <c r="H22" s="117">
        <v>773.51</v>
      </c>
      <c r="I22" s="118">
        <v>198.19990000000001</v>
      </c>
      <c r="J22" s="4">
        <f t="shared" si="2"/>
        <v>153309.60464900002</v>
      </c>
      <c r="K22" s="4">
        <f t="shared" si="3"/>
        <v>208.10989500000002</v>
      </c>
      <c r="L22" s="1">
        <f t="shared" si="7"/>
        <v>46161</v>
      </c>
      <c r="M22" s="104">
        <f t="shared" si="4"/>
        <v>160975.08488145002</v>
      </c>
      <c r="N22" s="25">
        <v>160975</v>
      </c>
      <c r="O22" s="2"/>
      <c r="P22" s="7">
        <f t="shared" ca="1" si="5"/>
        <v>27</v>
      </c>
      <c r="Q22" s="2"/>
      <c r="R22" s="2"/>
      <c r="S22" s="116" t="s">
        <v>250</v>
      </c>
      <c r="T22" s="2"/>
      <c r="U22" s="2"/>
      <c r="V22" s="2"/>
      <c r="W22" s="23"/>
      <c r="Y22" s="18"/>
      <c r="Z22" s="1"/>
      <c r="AA22" s="1"/>
      <c r="AB22" s="2"/>
      <c r="AC22" s="3"/>
      <c r="AD22" s="4"/>
      <c r="AE22" s="4"/>
      <c r="AF22" s="24"/>
      <c r="AG22" s="2"/>
      <c r="AH22" s="23"/>
    </row>
    <row r="23" spans="1:34">
      <c r="A23" t="s">
        <v>113</v>
      </c>
      <c r="B23" s="18">
        <v>19</v>
      </c>
      <c r="C23" s="1"/>
      <c r="D23" s="115">
        <v>46150</v>
      </c>
      <c r="E23" s="116" t="s">
        <v>86</v>
      </c>
      <c r="F23" s="116"/>
      <c r="G23" s="116" t="s">
        <v>214</v>
      </c>
      <c r="H23" s="117">
        <v>500</v>
      </c>
      <c r="I23" s="118">
        <v>372</v>
      </c>
      <c r="J23" s="4">
        <f t="shared" si="2"/>
        <v>186000</v>
      </c>
      <c r="K23" s="4">
        <f t="shared" si="3"/>
        <v>390.6</v>
      </c>
      <c r="L23" s="1">
        <f t="shared" si="7"/>
        <v>46165</v>
      </c>
      <c r="M23" s="104">
        <f t="shared" si="4"/>
        <v>195300</v>
      </c>
      <c r="N23" s="25">
        <v>195300</v>
      </c>
      <c r="O23" s="2"/>
      <c r="P23" s="7">
        <f t="shared" ca="1" si="5"/>
        <v>23</v>
      </c>
      <c r="Q23" s="2"/>
      <c r="R23" s="2"/>
      <c r="S23" s="116" t="s">
        <v>251</v>
      </c>
      <c r="T23" s="2"/>
      <c r="U23" s="2"/>
      <c r="V23" s="2"/>
      <c r="W23" s="23"/>
      <c r="Y23" s="18"/>
      <c r="Z23" s="1"/>
      <c r="AA23" s="1"/>
      <c r="AB23" s="2"/>
      <c r="AC23" s="3"/>
      <c r="AD23" s="4"/>
      <c r="AE23" s="4"/>
      <c r="AF23" s="24"/>
      <c r="AG23" s="2"/>
      <c r="AH23" s="23"/>
    </row>
    <row r="24" spans="1:34">
      <c r="A24" t="s">
        <v>113</v>
      </c>
      <c r="B24" s="18">
        <v>20</v>
      </c>
      <c r="C24" s="1"/>
      <c r="D24" s="115">
        <v>46154</v>
      </c>
      <c r="E24" s="116" t="s">
        <v>91</v>
      </c>
      <c r="F24" s="130"/>
      <c r="G24" s="116" t="s">
        <v>166</v>
      </c>
      <c r="H24" s="144">
        <v>387.37</v>
      </c>
      <c r="I24" s="125">
        <v>200</v>
      </c>
      <c r="J24" s="126">
        <f t="shared" ref="J24:J27" si="10">H24*I24</f>
        <v>77474</v>
      </c>
      <c r="K24" s="126">
        <f t="shared" ref="K24:K27" si="11">I24*1.05</f>
        <v>210</v>
      </c>
      <c r="L24" s="127">
        <f t="shared" ref="L24:L27" si="12">D24+15</f>
        <v>46169</v>
      </c>
      <c r="M24" s="128">
        <f t="shared" ref="M24:M27" si="13">H24*K24</f>
        <v>81347.7</v>
      </c>
      <c r="N24" s="129">
        <v>81348</v>
      </c>
      <c r="O24" s="130"/>
      <c r="P24" s="7">
        <f t="shared" ca="1" si="5"/>
        <v>19</v>
      </c>
      <c r="Q24" s="130"/>
      <c r="R24" s="130"/>
      <c r="S24" s="116" t="s">
        <v>272</v>
      </c>
      <c r="T24" s="2"/>
      <c r="U24" s="2"/>
      <c r="V24" s="2"/>
      <c r="W24" s="23"/>
      <c r="Y24" s="18"/>
      <c r="Z24" s="1"/>
      <c r="AA24" s="1"/>
      <c r="AB24" s="2"/>
      <c r="AC24" s="3"/>
      <c r="AD24" s="4"/>
      <c r="AE24" s="4"/>
      <c r="AF24" s="24"/>
      <c r="AG24" s="2"/>
      <c r="AH24" s="23"/>
    </row>
    <row r="25" spans="1:34">
      <c r="A25" t="s">
        <v>113</v>
      </c>
      <c r="B25" s="18">
        <v>21</v>
      </c>
      <c r="C25" s="1"/>
      <c r="D25" s="115">
        <v>46154</v>
      </c>
      <c r="E25" s="116" t="s">
        <v>91</v>
      </c>
      <c r="F25" s="130"/>
      <c r="G25" s="116" t="s">
        <v>166</v>
      </c>
      <c r="H25" s="144">
        <v>753.12</v>
      </c>
      <c r="I25" s="125">
        <v>200</v>
      </c>
      <c r="J25" s="126">
        <f t="shared" si="10"/>
        <v>150624</v>
      </c>
      <c r="K25" s="126">
        <f t="shared" si="11"/>
        <v>210</v>
      </c>
      <c r="L25" s="127">
        <f t="shared" si="12"/>
        <v>46169</v>
      </c>
      <c r="M25" s="128">
        <f t="shared" si="13"/>
        <v>158155.20000000001</v>
      </c>
      <c r="N25" s="129">
        <v>158155</v>
      </c>
      <c r="O25" s="130"/>
      <c r="P25" s="7">
        <f t="shared" ca="1" si="5"/>
        <v>19</v>
      </c>
      <c r="Q25" s="130"/>
      <c r="R25" s="130"/>
      <c r="S25" s="116" t="s">
        <v>273</v>
      </c>
      <c r="T25" s="2"/>
      <c r="U25" s="2"/>
      <c r="V25" s="2"/>
      <c r="W25" s="23"/>
      <c r="Y25" s="18"/>
      <c r="Z25" s="1"/>
      <c r="AA25" s="1"/>
      <c r="AB25" s="2"/>
      <c r="AC25" s="3"/>
      <c r="AD25" s="4"/>
      <c r="AE25" s="4"/>
      <c r="AF25" s="24"/>
      <c r="AG25" s="2"/>
      <c r="AH25" s="23"/>
    </row>
    <row r="26" spans="1:34">
      <c r="A26" t="s">
        <v>113</v>
      </c>
      <c r="B26" s="18">
        <v>22</v>
      </c>
      <c r="C26" s="1"/>
      <c r="D26" s="115">
        <v>46155</v>
      </c>
      <c r="E26" s="116" t="s">
        <v>91</v>
      </c>
      <c r="F26" s="130"/>
      <c r="G26" s="116" t="s">
        <v>85</v>
      </c>
      <c r="H26" s="117">
        <v>1390.92</v>
      </c>
      <c r="I26" s="125">
        <v>325</v>
      </c>
      <c r="J26" s="126">
        <f t="shared" si="10"/>
        <v>452049</v>
      </c>
      <c r="K26" s="126">
        <f t="shared" si="11"/>
        <v>341.25</v>
      </c>
      <c r="L26" s="127">
        <f t="shared" si="12"/>
        <v>46170</v>
      </c>
      <c r="M26" s="128">
        <f t="shared" si="13"/>
        <v>474651.45</v>
      </c>
      <c r="N26" s="129">
        <v>474651</v>
      </c>
      <c r="O26" s="130"/>
      <c r="P26" s="7">
        <f t="shared" ca="1" si="5"/>
        <v>18</v>
      </c>
      <c r="Q26" s="130"/>
      <c r="R26" s="130"/>
      <c r="S26" s="116" t="s">
        <v>274</v>
      </c>
      <c r="T26" s="2"/>
      <c r="U26" s="2"/>
      <c r="V26" s="2"/>
      <c r="W26" s="23"/>
      <c r="Y26" s="18"/>
      <c r="Z26" s="1"/>
      <c r="AA26" s="1"/>
      <c r="AB26" s="2"/>
      <c r="AC26" s="3"/>
      <c r="AD26" s="4"/>
      <c r="AE26" s="4"/>
      <c r="AF26" s="24"/>
      <c r="AG26" s="2"/>
      <c r="AH26" s="23"/>
    </row>
    <row r="27" spans="1:34">
      <c r="A27" t="s">
        <v>113</v>
      </c>
      <c r="B27" s="18">
        <v>23</v>
      </c>
      <c r="C27" s="1"/>
      <c r="D27" s="115">
        <v>46155</v>
      </c>
      <c r="E27" s="116" t="s">
        <v>91</v>
      </c>
      <c r="F27" s="130"/>
      <c r="G27" s="116" t="s">
        <v>166</v>
      </c>
      <c r="H27" s="144">
        <v>774.37</v>
      </c>
      <c r="I27" s="125">
        <v>199.04759999999999</v>
      </c>
      <c r="J27" s="126">
        <f t="shared" si="10"/>
        <v>154136.49001199999</v>
      </c>
      <c r="K27" s="126">
        <f t="shared" si="11"/>
        <v>208.99997999999999</v>
      </c>
      <c r="L27" s="127">
        <f t="shared" si="12"/>
        <v>46170</v>
      </c>
      <c r="M27" s="128">
        <f t="shared" si="13"/>
        <v>161843.31451259999</v>
      </c>
      <c r="N27" s="129">
        <v>161843</v>
      </c>
      <c r="O27" s="130"/>
      <c r="P27" s="7">
        <f t="shared" ca="1" si="5"/>
        <v>18</v>
      </c>
      <c r="Q27" s="130"/>
      <c r="R27" s="130"/>
      <c r="S27" s="116" t="s">
        <v>275</v>
      </c>
      <c r="T27" s="2"/>
      <c r="U27" s="2"/>
      <c r="V27" s="2"/>
      <c r="W27" s="23"/>
      <c r="Y27" s="18"/>
      <c r="Z27" s="1"/>
      <c r="AA27" s="1"/>
      <c r="AB27" s="2"/>
      <c r="AC27" s="3"/>
      <c r="AD27" s="4"/>
      <c r="AE27" s="4"/>
      <c r="AF27" s="24"/>
      <c r="AG27" s="2"/>
      <c r="AH27" s="23"/>
    </row>
    <row r="28" spans="1:34">
      <c r="A28" s="133" t="s">
        <v>113</v>
      </c>
      <c r="B28" s="18">
        <v>24</v>
      </c>
      <c r="C28" s="127"/>
      <c r="D28" s="115">
        <v>46158</v>
      </c>
      <c r="E28" s="116" t="s">
        <v>284</v>
      </c>
      <c r="F28" s="130"/>
      <c r="G28" s="116" t="s">
        <v>133</v>
      </c>
      <c r="H28" s="117">
        <v>39.6</v>
      </c>
      <c r="I28" s="118">
        <v>440</v>
      </c>
      <c r="J28" s="126">
        <f t="shared" ref="J28:J35" si="14">H28*I28</f>
        <v>17424</v>
      </c>
      <c r="K28" s="126">
        <f t="shared" ref="K28:K35" si="15">I28*1.05</f>
        <v>462</v>
      </c>
      <c r="L28" s="127">
        <f t="shared" ref="L28:L35" si="16">D28+15</f>
        <v>46173</v>
      </c>
      <c r="M28" s="128">
        <f t="shared" ref="M28:M35" si="17">H28*K28</f>
        <v>18295.2</v>
      </c>
      <c r="N28" s="136">
        <v>18295</v>
      </c>
      <c r="O28" s="130"/>
      <c r="P28" s="7">
        <f t="shared" ref="P28:P35" ca="1" si="18">DAYS360(L28,TODAY())-(1)</f>
        <v>16</v>
      </c>
      <c r="Q28" s="130"/>
      <c r="R28" s="130"/>
      <c r="S28" s="116" t="s">
        <v>276</v>
      </c>
      <c r="T28" s="2"/>
      <c r="U28" s="2"/>
      <c r="V28" s="2"/>
      <c r="W28" s="23"/>
      <c r="Y28" s="18"/>
      <c r="Z28" s="1"/>
      <c r="AA28" s="1"/>
      <c r="AB28" s="2"/>
      <c r="AC28" s="3"/>
      <c r="AD28" s="4"/>
      <c r="AE28" s="4"/>
      <c r="AF28" s="24"/>
      <c r="AG28" s="2"/>
      <c r="AH28" s="23"/>
    </row>
    <row r="29" spans="1:34">
      <c r="A29" s="133" t="s">
        <v>113</v>
      </c>
      <c r="B29" s="18">
        <v>25</v>
      </c>
      <c r="C29" s="127"/>
      <c r="D29" s="115">
        <v>46161</v>
      </c>
      <c r="E29" s="116" t="s">
        <v>285</v>
      </c>
      <c r="F29" s="130"/>
      <c r="G29" s="116" t="s">
        <v>182</v>
      </c>
      <c r="H29" s="117">
        <v>657.23</v>
      </c>
      <c r="I29" s="118">
        <v>333.33</v>
      </c>
      <c r="J29" s="126">
        <f t="shared" si="14"/>
        <v>219074.47589999999</v>
      </c>
      <c r="K29" s="126">
        <f t="shared" si="15"/>
        <v>349.99650000000003</v>
      </c>
      <c r="L29" s="127">
        <f t="shared" si="16"/>
        <v>46176</v>
      </c>
      <c r="M29" s="128">
        <f t="shared" si="17"/>
        <v>230028.19969500002</v>
      </c>
      <c r="N29" s="136">
        <v>230030</v>
      </c>
      <c r="O29" s="130"/>
      <c r="P29" s="7">
        <f t="shared" ca="1" si="18"/>
        <v>13</v>
      </c>
      <c r="Q29" s="130"/>
      <c r="R29" s="130"/>
      <c r="S29" s="116" t="s">
        <v>277</v>
      </c>
      <c r="T29" s="2"/>
      <c r="U29" s="2"/>
      <c r="V29" s="2"/>
      <c r="W29" s="23"/>
      <c r="Y29" s="18"/>
      <c r="Z29" s="1"/>
      <c r="AA29" s="1"/>
      <c r="AB29" s="2"/>
      <c r="AC29" s="3"/>
      <c r="AD29" s="4"/>
      <c r="AE29" s="4"/>
      <c r="AF29" s="24"/>
      <c r="AG29" s="2"/>
      <c r="AH29" s="23"/>
    </row>
    <row r="30" spans="1:34">
      <c r="A30" s="133" t="s">
        <v>113</v>
      </c>
      <c r="B30" s="18">
        <v>26</v>
      </c>
      <c r="C30" s="127"/>
      <c r="D30" s="115">
        <v>46163</v>
      </c>
      <c r="E30" s="116" t="s">
        <v>94</v>
      </c>
      <c r="F30" s="130"/>
      <c r="G30" s="116" t="s">
        <v>166</v>
      </c>
      <c r="H30" s="117">
        <v>1114.8499999999999</v>
      </c>
      <c r="I30" s="118">
        <v>200.2</v>
      </c>
      <c r="J30" s="126">
        <f t="shared" si="14"/>
        <v>223192.96999999997</v>
      </c>
      <c r="K30" s="126">
        <f t="shared" si="15"/>
        <v>210.21</v>
      </c>
      <c r="L30" s="127">
        <f t="shared" si="16"/>
        <v>46178</v>
      </c>
      <c r="M30" s="128">
        <f t="shared" si="17"/>
        <v>234352.61849999998</v>
      </c>
      <c r="N30" s="136">
        <v>234353</v>
      </c>
      <c r="O30" s="130"/>
      <c r="P30" s="7">
        <f t="shared" ca="1" si="18"/>
        <v>11</v>
      </c>
      <c r="Q30" s="130"/>
      <c r="R30" s="130"/>
      <c r="S30" s="116" t="s">
        <v>278</v>
      </c>
      <c r="T30" s="2"/>
      <c r="U30" s="2"/>
      <c r="V30" s="2"/>
      <c r="W30" s="23"/>
      <c r="Y30" s="18"/>
      <c r="Z30" s="1"/>
      <c r="AA30" s="1"/>
      <c r="AB30" s="2"/>
      <c r="AC30" s="3"/>
      <c r="AD30" s="4"/>
      <c r="AE30" s="4"/>
      <c r="AF30" s="24"/>
      <c r="AG30" s="2"/>
      <c r="AH30" s="23"/>
    </row>
    <row r="31" spans="1:34">
      <c r="A31" s="133" t="s">
        <v>113</v>
      </c>
      <c r="B31" s="18">
        <v>27</v>
      </c>
      <c r="C31" s="127"/>
      <c r="D31" s="115">
        <v>46166</v>
      </c>
      <c r="E31" s="116" t="s">
        <v>285</v>
      </c>
      <c r="F31" s="130"/>
      <c r="G31" s="116" t="s">
        <v>182</v>
      </c>
      <c r="H31" s="117">
        <v>191.67</v>
      </c>
      <c r="I31" s="118">
        <v>333.33</v>
      </c>
      <c r="J31" s="126">
        <f t="shared" si="14"/>
        <v>63889.361099999995</v>
      </c>
      <c r="K31" s="126">
        <f t="shared" si="15"/>
        <v>349.99650000000003</v>
      </c>
      <c r="L31" s="127">
        <f t="shared" si="16"/>
        <v>46181</v>
      </c>
      <c r="M31" s="128">
        <f t="shared" si="17"/>
        <v>67083.829154999999</v>
      </c>
      <c r="N31" s="136">
        <v>67084</v>
      </c>
      <c r="O31" s="130"/>
      <c r="P31" s="7">
        <f t="shared" ca="1" si="18"/>
        <v>8</v>
      </c>
      <c r="Q31" s="130"/>
      <c r="R31" s="130"/>
      <c r="S31" s="116" t="s">
        <v>279</v>
      </c>
      <c r="T31" s="2"/>
      <c r="U31" s="2"/>
      <c r="V31" s="2"/>
      <c r="W31" s="23"/>
      <c r="Y31" s="18"/>
      <c r="Z31" s="1"/>
      <c r="AA31" s="1"/>
      <c r="AB31" s="2"/>
      <c r="AC31" s="3"/>
      <c r="AD31" s="4"/>
      <c r="AE31" s="4"/>
      <c r="AF31" s="24"/>
      <c r="AG31" s="2"/>
      <c r="AH31" s="23"/>
    </row>
    <row r="32" spans="1:34">
      <c r="A32" s="133" t="s">
        <v>113</v>
      </c>
      <c r="B32" s="18">
        <v>28</v>
      </c>
      <c r="C32" s="127"/>
      <c r="D32" s="115">
        <v>46167</v>
      </c>
      <c r="E32" s="116" t="s">
        <v>91</v>
      </c>
      <c r="F32" s="130"/>
      <c r="G32" s="116" t="s">
        <v>166</v>
      </c>
      <c r="H32" s="144">
        <v>373</v>
      </c>
      <c r="I32" s="118">
        <v>207.2</v>
      </c>
      <c r="J32" s="126">
        <f t="shared" si="14"/>
        <v>77285.599999999991</v>
      </c>
      <c r="K32" s="126">
        <f t="shared" si="15"/>
        <v>217.56</v>
      </c>
      <c r="L32" s="127">
        <f t="shared" si="16"/>
        <v>46182</v>
      </c>
      <c r="M32" s="128">
        <f t="shared" si="17"/>
        <v>81149.88</v>
      </c>
      <c r="N32" s="136">
        <v>81150</v>
      </c>
      <c r="O32" s="130"/>
      <c r="P32" s="7">
        <f t="shared" ca="1" si="18"/>
        <v>7</v>
      </c>
      <c r="Q32" s="130"/>
      <c r="R32" s="130"/>
      <c r="S32" s="116" t="s">
        <v>280</v>
      </c>
      <c r="T32" s="2"/>
      <c r="U32" s="2"/>
      <c r="V32" s="2"/>
      <c r="W32" s="23"/>
      <c r="Y32" s="18"/>
      <c r="Z32" s="1"/>
      <c r="AA32" s="1"/>
      <c r="AB32" s="2"/>
      <c r="AC32" s="3"/>
      <c r="AD32" s="4"/>
      <c r="AE32" s="4"/>
      <c r="AF32" s="24"/>
      <c r="AG32" s="2"/>
      <c r="AH32" s="23"/>
    </row>
    <row r="33" spans="1:34">
      <c r="A33" s="133" t="s">
        <v>113</v>
      </c>
      <c r="B33" s="18">
        <v>29</v>
      </c>
      <c r="C33" s="127"/>
      <c r="D33" s="115">
        <v>46170</v>
      </c>
      <c r="E33" s="116" t="s">
        <v>91</v>
      </c>
      <c r="F33" s="130"/>
      <c r="G33" s="116" t="s">
        <v>166</v>
      </c>
      <c r="H33" s="144">
        <v>373.29</v>
      </c>
      <c r="I33" s="118">
        <v>207.2</v>
      </c>
      <c r="J33" s="126">
        <f t="shared" si="14"/>
        <v>77345.687999999995</v>
      </c>
      <c r="K33" s="126">
        <f t="shared" si="15"/>
        <v>217.56</v>
      </c>
      <c r="L33" s="127">
        <f t="shared" si="16"/>
        <v>46185</v>
      </c>
      <c r="M33" s="128">
        <f t="shared" si="17"/>
        <v>81212.972399999999</v>
      </c>
      <c r="N33" s="136">
        <v>81213</v>
      </c>
      <c r="O33" s="130"/>
      <c r="P33" s="7">
        <f t="shared" ca="1" si="18"/>
        <v>4</v>
      </c>
      <c r="Q33" s="130"/>
      <c r="R33" s="130"/>
      <c r="S33" s="116" t="s">
        <v>281</v>
      </c>
      <c r="T33" s="2"/>
      <c r="U33" s="2"/>
      <c r="V33" s="2"/>
      <c r="W33" s="23"/>
      <c r="Y33" s="18"/>
      <c r="Z33" s="1"/>
      <c r="AA33" s="1"/>
      <c r="AB33" s="2"/>
      <c r="AC33" s="3"/>
      <c r="AD33" s="4"/>
      <c r="AE33" s="4"/>
      <c r="AF33" s="24"/>
      <c r="AG33" s="2"/>
      <c r="AH33" s="23"/>
    </row>
    <row r="34" spans="1:34">
      <c r="A34" s="133" t="s">
        <v>113</v>
      </c>
      <c r="B34" s="18">
        <v>30</v>
      </c>
      <c r="C34" s="127"/>
      <c r="D34" s="115">
        <v>46171</v>
      </c>
      <c r="E34" s="116" t="s">
        <v>212</v>
      </c>
      <c r="F34" s="130"/>
      <c r="G34" s="116" t="s">
        <v>214</v>
      </c>
      <c r="H34" s="117">
        <v>300</v>
      </c>
      <c r="I34" s="118">
        <v>442</v>
      </c>
      <c r="J34" s="126">
        <f t="shared" si="14"/>
        <v>132600</v>
      </c>
      <c r="K34" s="126">
        <f t="shared" si="15"/>
        <v>464.1</v>
      </c>
      <c r="L34" s="127">
        <f t="shared" si="16"/>
        <v>46186</v>
      </c>
      <c r="M34" s="128">
        <f t="shared" si="17"/>
        <v>139230</v>
      </c>
      <c r="N34" s="136">
        <v>139230</v>
      </c>
      <c r="O34" s="130"/>
      <c r="P34" s="7">
        <f t="shared" ca="1" si="18"/>
        <v>3</v>
      </c>
      <c r="Q34" s="130"/>
      <c r="R34" s="130"/>
      <c r="S34" s="116" t="s">
        <v>282</v>
      </c>
      <c r="T34" s="2"/>
      <c r="U34" s="2"/>
      <c r="V34" s="2"/>
      <c r="W34" s="23"/>
      <c r="Y34" s="18"/>
      <c r="Z34" s="1"/>
      <c r="AA34" s="1"/>
      <c r="AB34" s="2"/>
      <c r="AC34" s="3"/>
      <c r="AD34" s="4"/>
      <c r="AE34" s="4"/>
      <c r="AF34" s="24"/>
      <c r="AG34" s="2"/>
      <c r="AH34" s="23"/>
    </row>
    <row r="35" spans="1:34">
      <c r="A35" s="133" t="s">
        <v>113</v>
      </c>
      <c r="B35" s="18">
        <v>31</v>
      </c>
      <c r="C35" s="127"/>
      <c r="D35" s="115">
        <v>46171</v>
      </c>
      <c r="E35" s="116" t="s">
        <v>212</v>
      </c>
      <c r="F35" s="130"/>
      <c r="G35" s="116" t="s">
        <v>43</v>
      </c>
      <c r="H35" s="117">
        <v>250</v>
      </c>
      <c r="I35" s="118">
        <v>149</v>
      </c>
      <c r="J35" s="126">
        <f t="shared" si="14"/>
        <v>37250</v>
      </c>
      <c r="K35" s="126">
        <f t="shared" si="15"/>
        <v>156.45000000000002</v>
      </c>
      <c r="L35" s="127">
        <f t="shared" si="16"/>
        <v>46186</v>
      </c>
      <c r="M35" s="128">
        <f t="shared" si="17"/>
        <v>39112.500000000007</v>
      </c>
      <c r="N35" s="136">
        <v>39113</v>
      </c>
      <c r="O35" s="130"/>
      <c r="P35" s="7">
        <f t="shared" ca="1" si="18"/>
        <v>3</v>
      </c>
      <c r="Q35" s="130"/>
      <c r="R35" s="130"/>
      <c r="S35" s="116" t="s">
        <v>283</v>
      </c>
      <c r="T35" s="2"/>
      <c r="U35" s="2"/>
      <c r="V35" s="2"/>
      <c r="W35" s="23"/>
      <c r="Y35" s="18"/>
      <c r="Z35" s="1"/>
      <c r="AA35" s="1"/>
      <c r="AB35" s="2"/>
      <c r="AC35" s="3"/>
      <c r="AD35" s="4"/>
      <c r="AE35" s="4"/>
      <c r="AF35" s="24"/>
      <c r="AG35" s="2"/>
      <c r="AH35" s="23"/>
    </row>
    <row r="36" spans="1:34">
      <c r="A36" t="s">
        <v>113</v>
      </c>
      <c r="B36" s="18"/>
      <c r="C36" s="1"/>
      <c r="D36" s="115"/>
      <c r="E36" s="116"/>
      <c r="F36" s="130"/>
      <c r="G36" s="116"/>
      <c r="H36" s="117"/>
      <c r="I36" s="125"/>
      <c r="J36" s="126"/>
      <c r="K36" s="126"/>
      <c r="L36" s="127"/>
      <c r="M36" s="128"/>
      <c r="N36" s="129"/>
      <c r="O36" s="130"/>
      <c r="P36" s="7"/>
      <c r="Q36" s="130"/>
      <c r="R36" s="130"/>
      <c r="S36" s="116"/>
      <c r="T36" s="2"/>
      <c r="U36" s="2"/>
      <c r="V36" s="2"/>
      <c r="W36" s="23"/>
      <c r="Y36" s="18"/>
      <c r="Z36" s="1"/>
      <c r="AA36" s="1"/>
      <c r="AB36" s="2"/>
      <c r="AC36" s="3"/>
      <c r="AD36" s="4"/>
      <c r="AE36" s="4"/>
      <c r="AF36" s="24"/>
      <c r="AG36" s="2"/>
      <c r="AH36" s="23"/>
    </row>
    <row r="37" spans="1:34">
      <c r="A37" t="s">
        <v>113</v>
      </c>
      <c r="B37" s="18"/>
      <c r="C37" s="1"/>
      <c r="D37" s="115"/>
      <c r="E37" s="116"/>
      <c r="F37" s="130"/>
      <c r="G37" s="116"/>
      <c r="H37" s="117"/>
      <c r="I37" s="125"/>
      <c r="J37" s="126"/>
      <c r="K37" s="126"/>
      <c r="L37" s="127"/>
      <c r="M37" s="128"/>
      <c r="N37" s="129"/>
      <c r="O37" s="130"/>
      <c r="P37" s="7"/>
      <c r="Q37" s="130"/>
      <c r="R37" s="130"/>
      <c r="S37" s="116"/>
      <c r="T37" s="2"/>
      <c r="U37" s="2"/>
      <c r="V37" s="2"/>
      <c r="W37" s="23"/>
      <c r="Y37" s="18"/>
      <c r="Z37" s="1"/>
      <c r="AA37" s="1"/>
      <c r="AB37" s="2"/>
      <c r="AC37" s="3"/>
      <c r="AD37" s="4"/>
      <c r="AE37" s="4"/>
      <c r="AF37" s="24"/>
      <c r="AG37" s="2"/>
      <c r="AH37" s="23"/>
    </row>
    <row r="38" spans="1:34">
      <c r="A38" t="s">
        <v>113</v>
      </c>
      <c r="B38" s="18"/>
      <c r="C38" s="1"/>
      <c r="D38" s="115"/>
      <c r="E38" s="116"/>
      <c r="F38" s="130"/>
      <c r="G38" s="116"/>
      <c r="H38" s="117"/>
      <c r="I38" s="125"/>
      <c r="J38" s="126"/>
      <c r="K38" s="126"/>
      <c r="L38" s="127"/>
      <c r="M38" s="128"/>
      <c r="N38" s="129"/>
      <c r="O38" s="130"/>
      <c r="P38" s="7"/>
      <c r="Q38" s="130"/>
      <c r="R38" s="130"/>
      <c r="S38" s="116"/>
      <c r="T38" s="2"/>
      <c r="U38" s="2"/>
      <c r="V38" s="2"/>
      <c r="W38" s="23"/>
      <c r="Y38" s="18"/>
      <c r="Z38" s="1"/>
      <c r="AA38" s="1"/>
      <c r="AB38" s="2"/>
      <c r="AC38" s="3"/>
      <c r="AD38" s="4"/>
      <c r="AE38" s="4"/>
      <c r="AF38" s="24"/>
      <c r="AG38" s="2"/>
      <c r="AH38" s="23"/>
    </row>
    <row r="39" spans="1:34">
      <c r="A39" t="s">
        <v>113</v>
      </c>
      <c r="B39" s="18"/>
      <c r="C39" s="1"/>
      <c r="D39" s="115"/>
      <c r="E39" s="116"/>
      <c r="F39" s="130"/>
      <c r="G39" s="116"/>
      <c r="H39" s="117"/>
      <c r="I39" s="125"/>
      <c r="J39" s="126"/>
      <c r="K39" s="126"/>
      <c r="L39" s="127"/>
      <c r="M39" s="128"/>
      <c r="N39" s="129"/>
      <c r="O39" s="130"/>
      <c r="P39" s="7"/>
      <c r="Q39" s="130"/>
      <c r="R39" s="130"/>
      <c r="S39" s="116"/>
      <c r="T39" s="2"/>
      <c r="U39" s="2"/>
      <c r="V39" s="2"/>
      <c r="W39" s="23"/>
      <c r="Y39" s="18"/>
      <c r="Z39" s="1"/>
      <c r="AA39" s="1"/>
      <c r="AB39" s="2"/>
      <c r="AC39" s="3"/>
      <c r="AD39" s="4"/>
      <c r="AE39" s="4"/>
      <c r="AF39" s="24"/>
      <c r="AG39" s="2"/>
      <c r="AH39" s="23"/>
    </row>
    <row r="40" spans="1:34">
      <c r="A40" t="s">
        <v>113</v>
      </c>
      <c r="B40" s="18"/>
      <c r="C40" s="1"/>
      <c r="D40" s="115"/>
      <c r="E40" s="116"/>
      <c r="F40" s="130"/>
      <c r="G40" s="116"/>
      <c r="H40" s="117"/>
      <c r="I40" s="125"/>
      <c r="J40" s="126"/>
      <c r="K40" s="126"/>
      <c r="L40" s="127"/>
      <c r="M40" s="128"/>
      <c r="N40" s="129"/>
      <c r="O40" s="130"/>
      <c r="P40" s="7"/>
      <c r="Q40" s="130"/>
      <c r="R40" s="130"/>
      <c r="S40" s="116"/>
      <c r="T40" s="2"/>
      <c r="U40" s="2"/>
      <c r="V40" s="2"/>
      <c r="W40" s="23"/>
      <c r="Y40" s="18"/>
      <c r="Z40" s="1"/>
      <c r="AA40" s="1"/>
      <c r="AB40" s="2"/>
      <c r="AC40" s="3"/>
      <c r="AD40" s="4"/>
      <c r="AE40" s="4"/>
      <c r="AF40" s="24"/>
      <c r="AG40" s="2"/>
      <c r="AH40" s="23"/>
    </row>
    <row r="41" spans="1:34">
      <c r="A41" t="s">
        <v>113</v>
      </c>
      <c r="B41" s="18"/>
      <c r="C41" s="1"/>
      <c r="D41" s="115"/>
      <c r="E41" s="116"/>
      <c r="F41" s="130"/>
      <c r="G41" s="116"/>
      <c r="H41" s="117"/>
      <c r="I41" s="125"/>
      <c r="J41" s="126"/>
      <c r="K41" s="126"/>
      <c r="L41" s="127"/>
      <c r="M41" s="128"/>
      <c r="N41" s="129"/>
      <c r="O41" s="130"/>
      <c r="P41" s="7"/>
      <c r="Q41" s="130"/>
      <c r="R41" s="130"/>
      <c r="S41" s="116"/>
      <c r="T41" s="2"/>
      <c r="U41" s="2"/>
      <c r="V41" s="2"/>
      <c r="W41" s="23"/>
      <c r="Y41" s="18"/>
      <c r="Z41" s="1"/>
      <c r="AA41" s="1"/>
      <c r="AB41" s="2"/>
      <c r="AC41" s="3"/>
      <c r="AD41" s="4"/>
      <c r="AE41" s="4"/>
      <c r="AF41" s="24"/>
      <c r="AG41" s="2"/>
      <c r="AH41" s="23"/>
    </row>
    <row r="42" spans="1:34">
      <c r="A42" t="s">
        <v>113</v>
      </c>
      <c r="B42" s="18"/>
      <c r="C42" s="1"/>
      <c r="D42" s="115"/>
      <c r="E42" s="116"/>
      <c r="F42" s="130"/>
      <c r="G42" s="116"/>
      <c r="H42" s="117"/>
      <c r="I42" s="125"/>
      <c r="J42" s="126"/>
      <c r="K42" s="126"/>
      <c r="L42" s="127"/>
      <c r="M42" s="128"/>
      <c r="N42" s="129"/>
      <c r="O42" s="130"/>
      <c r="P42" s="7"/>
      <c r="Q42" s="130"/>
      <c r="R42" s="130"/>
      <c r="S42" s="116"/>
      <c r="T42" s="2"/>
      <c r="U42" s="2"/>
      <c r="V42" s="2"/>
      <c r="W42" s="23"/>
      <c r="Y42" s="18"/>
      <c r="Z42" s="1"/>
      <c r="AA42" s="1"/>
      <c r="AB42" s="2"/>
      <c r="AC42" s="3"/>
      <c r="AD42" s="4"/>
      <c r="AE42" s="4"/>
      <c r="AF42" s="24"/>
      <c r="AG42" s="2"/>
      <c r="AH42" s="23"/>
    </row>
    <row r="43" spans="1:34">
      <c r="A43" t="s">
        <v>113</v>
      </c>
      <c r="B43" s="18"/>
      <c r="C43" s="1"/>
      <c r="D43" s="115"/>
      <c r="E43" s="116"/>
      <c r="F43" s="130"/>
      <c r="G43" s="116"/>
      <c r="H43" s="117"/>
      <c r="I43" s="125"/>
      <c r="J43" s="126"/>
      <c r="K43" s="126"/>
      <c r="L43" s="127"/>
      <c r="M43" s="128"/>
      <c r="N43" s="129"/>
      <c r="O43" s="130"/>
      <c r="P43" s="7"/>
      <c r="Q43" s="130"/>
      <c r="R43" s="130"/>
      <c r="S43" s="116"/>
      <c r="T43" s="2"/>
      <c r="U43" s="2"/>
      <c r="V43" s="2"/>
      <c r="W43" s="23"/>
      <c r="Y43" s="18"/>
      <c r="Z43" s="1"/>
      <c r="AA43" s="1"/>
      <c r="AB43" s="2"/>
      <c r="AC43" s="3"/>
      <c r="AD43" s="4"/>
      <c r="AE43" s="4"/>
      <c r="AF43" s="24"/>
      <c r="AG43" s="2"/>
      <c r="AH43" s="23"/>
    </row>
    <row r="44" spans="1:34">
      <c r="A44" t="s">
        <v>113</v>
      </c>
      <c r="B44" s="18"/>
      <c r="C44" s="1"/>
      <c r="D44" s="115"/>
      <c r="E44" s="116"/>
      <c r="F44" s="130"/>
      <c r="G44" s="116"/>
      <c r="H44" s="117"/>
      <c r="I44" s="125"/>
      <c r="J44" s="126"/>
      <c r="K44" s="126"/>
      <c r="L44" s="127"/>
      <c r="M44" s="128"/>
      <c r="N44" s="129"/>
      <c r="O44" s="130"/>
      <c r="P44" s="7"/>
      <c r="Q44" s="130"/>
      <c r="R44" s="130"/>
      <c r="S44" s="116"/>
      <c r="T44" s="2"/>
      <c r="U44" s="2"/>
      <c r="V44" s="2"/>
      <c r="W44" s="23"/>
      <c r="Y44" s="18"/>
      <c r="Z44" s="1"/>
      <c r="AA44" s="1"/>
      <c r="AB44" s="2"/>
      <c r="AC44" s="3"/>
      <c r="AD44" s="4"/>
      <c r="AE44" s="4"/>
      <c r="AF44" s="24"/>
      <c r="AG44" s="2"/>
      <c r="AH44" s="23"/>
    </row>
    <row r="45" spans="1:34">
      <c r="A45" t="s">
        <v>113</v>
      </c>
      <c r="B45" s="18"/>
      <c r="C45" s="1"/>
      <c r="D45" s="115"/>
      <c r="E45" s="116"/>
      <c r="F45" s="130"/>
      <c r="G45" s="116"/>
      <c r="H45" s="117"/>
      <c r="I45" s="125"/>
      <c r="J45" s="126"/>
      <c r="K45" s="126"/>
      <c r="L45" s="127"/>
      <c r="M45" s="128"/>
      <c r="N45" s="129"/>
      <c r="O45" s="130"/>
      <c r="P45" s="7"/>
      <c r="Q45" s="130"/>
      <c r="R45" s="130"/>
      <c r="S45" s="116"/>
      <c r="T45" s="2"/>
      <c r="U45" s="2"/>
      <c r="V45" s="2"/>
      <c r="W45" s="23"/>
      <c r="Y45" s="18"/>
      <c r="Z45" s="1"/>
      <c r="AA45" s="1"/>
      <c r="AB45" s="2"/>
      <c r="AC45" s="3"/>
      <c r="AD45" s="4"/>
      <c r="AE45" s="4"/>
      <c r="AF45" s="24"/>
      <c r="AG45" s="2"/>
      <c r="AH45" s="23"/>
    </row>
    <row r="46" spans="1:34">
      <c r="A46" t="s">
        <v>113</v>
      </c>
      <c r="B46" s="18"/>
      <c r="C46" s="1"/>
      <c r="D46" s="113"/>
      <c r="E46" s="2"/>
      <c r="F46" s="2"/>
      <c r="G46" s="2"/>
      <c r="H46" s="3"/>
      <c r="I46" s="4"/>
      <c r="J46" s="4"/>
      <c r="K46" s="4"/>
      <c r="L46" s="1"/>
      <c r="M46" s="24"/>
      <c r="N46" s="25"/>
      <c r="O46" s="2"/>
      <c r="P46" s="26"/>
      <c r="Q46" s="2"/>
      <c r="R46" s="2"/>
      <c r="S46" s="2"/>
      <c r="T46" s="2"/>
      <c r="U46" s="2"/>
      <c r="V46" s="2"/>
      <c r="W46" s="23"/>
      <c r="Y46" s="18"/>
      <c r="Z46" s="1"/>
      <c r="AA46" s="1"/>
      <c r="AB46" s="2"/>
      <c r="AC46" s="3"/>
      <c r="AD46" s="4"/>
      <c r="AE46" s="4"/>
      <c r="AF46" s="24"/>
      <c r="AG46" s="2"/>
      <c r="AH46" s="23"/>
    </row>
    <row r="47" spans="1:34" ht="15.75" thickBot="1">
      <c r="A47" t="s">
        <v>113</v>
      </c>
      <c r="B47" s="27"/>
      <c r="C47" s="28"/>
      <c r="D47" s="28"/>
      <c r="E47" s="29"/>
      <c r="F47" s="29"/>
      <c r="G47" s="30"/>
      <c r="H47" s="31"/>
      <c r="I47" s="32"/>
      <c r="J47" s="32"/>
      <c r="K47" s="32"/>
      <c r="L47" s="28"/>
      <c r="M47" s="33"/>
      <c r="N47" s="36"/>
      <c r="O47" s="30"/>
      <c r="P47" s="34"/>
      <c r="Q47" s="30"/>
      <c r="R47" s="30"/>
      <c r="S47" s="30"/>
      <c r="T47" s="30"/>
      <c r="U47" s="30"/>
      <c r="V47" s="30"/>
      <c r="W47" s="35"/>
      <c r="Y47" s="27"/>
      <c r="Z47" s="28"/>
      <c r="AA47" s="28"/>
      <c r="AB47" s="30"/>
      <c r="AC47" s="31"/>
      <c r="AD47" s="32"/>
      <c r="AE47" s="32"/>
      <c r="AF47" s="33"/>
      <c r="AG47" s="30"/>
      <c r="AH47" s="35"/>
    </row>
    <row r="48" spans="1:34" ht="15.75" thickBot="1">
      <c r="A48" t="s">
        <v>113</v>
      </c>
      <c r="B48" s="18"/>
      <c r="C48" s="1"/>
      <c r="D48" s="1"/>
      <c r="E48" s="2"/>
      <c r="F48" s="2"/>
      <c r="G48" s="2"/>
      <c r="H48" s="3"/>
      <c r="I48" s="4"/>
      <c r="J48" s="4"/>
      <c r="K48" s="4"/>
      <c r="L48" s="1"/>
      <c r="M48" s="33"/>
      <c r="N48" s="36"/>
      <c r="O48" s="2"/>
      <c r="P48" s="7"/>
      <c r="Q48" s="2"/>
      <c r="R48" s="2"/>
      <c r="S48" s="2"/>
      <c r="T48" s="2"/>
      <c r="U48" s="2"/>
      <c r="V48" s="2"/>
      <c r="W48" s="23"/>
      <c r="Y48" s="18"/>
      <c r="Z48" s="1"/>
      <c r="AA48" s="1"/>
      <c r="AB48" s="2"/>
      <c r="AC48" s="3"/>
      <c r="AD48" s="4"/>
      <c r="AE48" s="4"/>
      <c r="AF48" s="33"/>
      <c r="AG48" s="2"/>
      <c r="AH48" s="23"/>
    </row>
    <row r="49" spans="1:34" ht="15.75" thickBot="1">
      <c r="A49" t="s">
        <v>113</v>
      </c>
      <c r="B49" s="8">
        <f>(M49+T49)/H49</f>
        <v>278.64526935792003</v>
      </c>
      <c r="C49" s="9"/>
      <c r="D49" s="9"/>
      <c r="E49" s="10"/>
      <c r="F49" s="10"/>
      <c r="G49" s="84">
        <f>H49/H119</f>
        <v>0.36687628839277819</v>
      </c>
      <c r="H49" s="11">
        <f>SUM(H5:H48)</f>
        <v>12479.210000000003</v>
      </c>
      <c r="I49" s="12"/>
      <c r="J49" s="12"/>
      <c r="K49" s="12"/>
      <c r="L49" s="9"/>
      <c r="M49" s="37">
        <f>SUM(M5:M48)</f>
        <v>3477272.8318240498</v>
      </c>
      <c r="N49" s="38">
        <f>SUM(N5:N48)</f>
        <v>3070995</v>
      </c>
      <c r="O49" s="10"/>
      <c r="P49" s="39"/>
      <c r="Q49" s="10" t="e">
        <f>SUM(#REF!)</f>
        <v>#REF!</v>
      </c>
      <c r="R49" s="10"/>
      <c r="S49" s="10"/>
      <c r="T49" s="10">
        <f>SUM(T5:T48)</f>
        <v>0</v>
      </c>
      <c r="U49" s="10"/>
      <c r="V49" s="10"/>
      <c r="W49" s="17"/>
      <c r="Y49" s="8"/>
      <c r="Z49" s="9"/>
      <c r="AA49" s="9"/>
      <c r="AB49" s="10"/>
      <c r="AC49" s="11">
        <f>SUM(AC5:AC48)</f>
        <v>0</v>
      </c>
      <c r="AD49" s="12"/>
      <c r="AE49" s="12"/>
      <c r="AF49" s="37">
        <f>SUM(AF5:AF48)</f>
        <v>0</v>
      </c>
      <c r="AG49" s="10"/>
      <c r="AH49" s="17"/>
    </row>
    <row r="50" spans="1:34">
      <c r="A50" t="s">
        <v>114</v>
      </c>
      <c r="B50" s="2"/>
      <c r="C50" s="1"/>
      <c r="D50" s="1"/>
      <c r="E50" s="2"/>
      <c r="F50" s="2"/>
      <c r="G50" s="2"/>
      <c r="H50" s="3"/>
      <c r="I50" s="4"/>
      <c r="J50" s="4"/>
      <c r="K50" s="4"/>
      <c r="L50" s="1"/>
      <c r="M50" s="5"/>
      <c r="O50" s="2"/>
      <c r="P50" s="7"/>
      <c r="Q50" s="2"/>
      <c r="R50" s="2"/>
      <c r="S50" s="2"/>
      <c r="T50" s="2"/>
      <c r="U50" s="2"/>
      <c r="V50" s="2"/>
      <c r="W50" s="1"/>
      <c r="Y50" s="2"/>
      <c r="Z50" s="1"/>
      <c r="AA50" s="1"/>
      <c r="AB50" s="2"/>
      <c r="AC50" s="3"/>
      <c r="AD50" s="4"/>
      <c r="AE50" s="4"/>
      <c r="AF50" s="5"/>
      <c r="AG50" s="2"/>
      <c r="AH50" s="1"/>
    </row>
    <row r="51" spans="1:34">
      <c r="A51" t="s">
        <v>114</v>
      </c>
      <c r="B51" s="147" t="s">
        <v>40</v>
      </c>
      <c r="C51" s="147"/>
      <c r="H51" s="109"/>
      <c r="Y51" s="147" t="s">
        <v>39</v>
      </c>
      <c r="Z51" s="147"/>
    </row>
    <row r="52" spans="1:34" ht="15.75" thickBot="1">
      <c r="A52" t="s">
        <v>114</v>
      </c>
      <c r="B52" s="148" t="s">
        <v>34</v>
      </c>
      <c r="C52" s="148"/>
      <c r="H52" s="109"/>
      <c r="Y52" s="148" t="s">
        <v>34</v>
      </c>
      <c r="Z52" s="148"/>
      <c r="AA52" s="1"/>
      <c r="AB52" s="2"/>
      <c r="AC52" s="3"/>
      <c r="AD52" s="4"/>
      <c r="AE52" s="4"/>
      <c r="AF52" s="5"/>
      <c r="AG52" s="2"/>
      <c r="AH52" s="1"/>
    </row>
    <row r="53" spans="1:34" ht="15.75" thickBot="1">
      <c r="A53" t="s">
        <v>114</v>
      </c>
      <c r="B53" s="8" t="s">
        <v>0</v>
      </c>
      <c r="C53" s="9" t="s">
        <v>1</v>
      </c>
      <c r="D53" s="9" t="s">
        <v>2</v>
      </c>
      <c r="E53" s="10" t="s">
        <v>3</v>
      </c>
      <c r="F53" s="10" t="s">
        <v>4</v>
      </c>
      <c r="G53" s="10" t="s">
        <v>5</v>
      </c>
      <c r="H53" s="11" t="s">
        <v>6</v>
      </c>
      <c r="I53" s="12" t="s">
        <v>7</v>
      </c>
      <c r="J53" s="12" t="s">
        <v>112</v>
      </c>
      <c r="K53" s="12" t="s">
        <v>8</v>
      </c>
      <c r="L53" s="9" t="s">
        <v>9</v>
      </c>
      <c r="M53" s="13" t="s">
        <v>10</v>
      </c>
      <c r="N53" s="14" t="s">
        <v>11</v>
      </c>
      <c r="O53" s="15"/>
      <c r="P53" s="16" t="s">
        <v>12</v>
      </c>
      <c r="Q53" s="15" t="s">
        <v>13</v>
      </c>
      <c r="R53" s="15" t="s">
        <v>14</v>
      </c>
      <c r="S53" s="10" t="s">
        <v>15</v>
      </c>
      <c r="T53" s="15" t="s">
        <v>16</v>
      </c>
      <c r="U53" s="10"/>
      <c r="V53" s="10" t="s">
        <v>17</v>
      </c>
      <c r="W53" s="17" t="s">
        <v>18</v>
      </c>
      <c r="Y53" s="8" t="s">
        <v>0</v>
      </c>
      <c r="Z53" s="9" t="s">
        <v>1</v>
      </c>
      <c r="AA53" s="9" t="s">
        <v>2</v>
      </c>
      <c r="AB53" s="10" t="s">
        <v>5</v>
      </c>
      <c r="AC53" s="11" t="s">
        <v>6</v>
      </c>
      <c r="AD53" s="12" t="s">
        <v>7</v>
      </c>
      <c r="AE53" s="12" t="s">
        <v>8</v>
      </c>
      <c r="AF53" s="13" t="s">
        <v>10</v>
      </c>
      <c r="AG53" s="15"/>
      <c r="AH53" s="17" t="s">
        <v>18</v>
      </c>
    </row>
    <row r="54" spans="1:34">
      <c r="A54" t="s">
        <v>114</v>
      </c>
      <c r="B54" s="18">
        <v>1</v>
      </c>
      <c r="C54" s="1"/>
      <c r="D54" s="115">
        <v>46115</v>
      </c>
      <c r="E54" s="116" t="s">
        <v>91</v>
      </c>
      <c r="F54" s="114"/>
      <c r="G54" s="116" t="s">
        <v>85</v>
      </c>
      <c r="H54" s="117">
        <v>300</v>
      </c>
      <c r="I54" s="118">
        <v>321.90499999999997</v>
      </c>
      <c r="J54" s="4">
        <f>H54*I54</f>
        <v>96571.499999999985</v>
      </c>
      <c r="K54" s="4">
        <f>I54*1.05</f>
        <v>338.00024999999999</v>
      </c>
      <c r="L54" s="1">
        <f>D54+18</f>
        <v>46133</v>
      </c>
      <c r="M54" s="121">
        <f t="shared" ref="M54:M73" si="19">H54*K54</f>
        <v>101400.075</v>
      </c>
      <c r="N54" s="22" t="s">
        <v>97</v>
      </c>
      <c r="O54" s="2"/>
      <c r="P54" s="7">
        <f>DAYS360(L54,W54)-(1)</f>
        <v>17</v>
      </c>
      <c r="Q54" s="66">
        <f t="shared" ref="Q54:Q56" si="20">0.18*P54*M54/365</f>
        <v>850.09377945205483</v>
      </c>
      <c r="R54" s="2"/>
      <c r="S54" s="116" t="s">
        <v>216</v>
      </c>
      <c r="T54" s="2"/>
      <c r="U54" s="2"/>
      <c r="V54" s="1"/>
      <c r="W54" s="23">
        <v>46151</v>
      </c>
      <c r="Y54" s="18">
        <v>1</v>
      </c>
      <c r="Z54" s="1"/>
      <c r="AA54" s="1"/>
      <c r="AB54" s="2"/>
      <c r="AC54" s="20"/>
      <c r="AD54" s="4"/>
      <c r="AE54" s="4"/>
      <c r="AF54" s="21"/>
      <c r="AG54" s="2"/>
      <c r="AH54" s="23"/>
    </row>
    <row r="55" spans="1:34">
      <c r="A55" t="s">
        <v>114</v>
      </c>
      <c r="B55" s="18">
        <v>2</v>
      </c>
      <c r="C55" s="1"/>
      <c r="D55" s="115">
        <v>46120</v>
      </c>
      <c r="E55" s="116" t="s">
        <v>212</v>
      </c>
      <c r="F55" s="114"/>
      <c r="G55" s="116" t="s">
        <v>166</v>
      </c>
      <c r="H55" s="117">
        <v>1156.18</v>
      </c>
      <c r="I55" s="118">
        <v>200.2</v>
      </c>
      <c r="J55" s="4">
        <f t="shared" ref="J55:J73" si="21">H55*I55</f>
        <v>231467.236</v>
      </c>
      <c r="K55" s="4">
        <f>I55*1.05</f>
        <v>210.21</v>
      </c>
      <c r="L55" s="1">
        <f>D55+18</f>
        <v>46138</v>
      </c>
      <c r="M55" s="121">
        <f t="shared" si="19"/>
        <v>243040.59780000002</v>
      </c>
      <c r="N55" s="22" t="s">
        <v>97</v>
      </c>
      <c r="O55" s="2"/>
      <c r="P55" s="7">
        <f>DAYS360(L55,W55)-(1)</f>
        <v>15</v>
      </c>
      <c r="Q55" s="66">
        <f t="shared" si="20"/>
        <v>1797.834559068493</v>
      </c>
      <c r="R55" s="2"/>
      <c r="S55" s="116" t="s">
        <v>217</v>
      </c>
      <c r="T55" s="2"/>
      <c r="U55" s="2"/>
      <c r="V55" s="2"/>
      <c r="W55" s="23">
        <v>46154</v>
      </c>
      <c r="Y55" s="18"/>
      <c r="Z55" s="1"/>
      <c r="AA55" s="1"/>
      <c r="AB55" s="2"/>
      <c r="AC55" s="3"/>
      <c r="AD55" s="4"/>
      <c r="AE55" s="4"/>
      <c r="AF55" s="24"/>
      <c r="AG55" s="2"/>
      <c r="AH55" s="23"/>
    </row>
    <row r="56" spans="1:34">
      <c r="A56" t="s">
        <v>114</v>
      </c>
      <c r="B56" s="18">
        <v>3</v>
      </c>
      <c r="C56" s="1"/>
      <c r="D56" s="115">
        <v>46120</v>
      </c>
      <c r="E56" s="116" t="s">
        <v>212</v>
      </c>
      <c r="F56" s="114"/>
      <c r="G56" s="116" t="s">
        <v>166</v>
      </c>
      <c r="H56" s="117">
        <v>1143</v>
      </c>
      <c r="I56" s="118">
        <v>200.2</v>
      </c>
      <c r="J56" s="4">
        <f t="shared" si="21"/>
        <v>228828.59999999998</v>
      </c>
      <c r="K56" s="4">
        <f t="shared" ref="K56:K73" si="22">I56*1.05</f>
        <v>210.21</v>
      </c>
      <c r="L56" s="1">
        <f>D56+18</f>
        <v>46138</v>
      </c>
      <c r="M56" s="121">
        <f t="shared" si="19"/>
        <v>240270.03</v>
      </c>
      <c r="N56" s="22" t="s">
        <v>97</v>
      </c>
      <c r="O56" s="2"/>
      <c r="P56" s="7">
        <f>DAYS360(L56,W56)-(1)</f>
        <v>15</v>
      </c>
      <c r="Q56" s="66">
        <f t="shared" si="20"/>
        <v>1777.3399479452053</v>
      </c>
      <c r="R56" s="2"/>
      <c r="S56" s="116" t="s">
        <v>218</v>
      </c>
      <c r="T56" s="2"/>
      <c r="U56" s="2"/>
      <c r="V56" s="2"/>
      <c r="W56" s="23">
        <v>46154</v>
      </c>
      <c r="Y56" s="18"/>
      <c r="Z56" s="1"/>
      <c r="AA56" s="1"/>
      <c r="AB56" s="2"/>
      <c r="AC56" s="3"/>
      <c r="AD56" s="4"/>
      <c r="AE56" s="4"/>
      <c r="AF56" s="24"/>
      <c r="AG56" s="2"/>
      <c r="AH56" s="23"/>
    </row>
    <row r="57" spans="1:34">
      <c r="A57" t="s">
        <v>114</v>
      </c>
      <c r="B57" s="18">
        <v>4</v>
      </c>
      <c r="C57" s="1"/>
      <c r="D57" s="115">
        <v>46124</v>
      </c>
      <c r="E57" s="116" t="s">
        <v>261</v>
      </c>
      <c r="F57" s="114"/>
      <c r="G57" s="116" t="s">
        <v>262</v>
      </c>
      <c r="H57" s="117">
        <v>417.76</v>
      </c>
      <c r="I57" s="125">
        <v>285</v>
      </c>
      <c r="J57" s="4">
        <f t="shared" ref="J57" si="23">H57*I57</f>
        <v>119061.59999999999</v>
      </c>
      <c r="K57" s="4">
        <f t="shared" ref="K57" si="24">I57*1.05</f>
        <v>299.25</v>
      </c>
      <c r="L57" s="1">
        <f>D57+18</f>
        <v>46142</v>
      </c>
      <c r="M57" s="121">
        <f t="shared" si="19"/>
        <v>125014.68</v>
      </c>
      <c r="N57" s="22">
        <v>125015</v>
      </c>
      <c r="O57" s="2"/>
      <c r="P57" s="7">
        <f t="shared" ref="P55:P79" ca="1" si="25">DAYS360(L57,TODAY())-(1)</f>
        <v>46</v>
      </c>
      <c r="Q57" s="2"/>
      <c r="R57" s="2"/>
      <c r="S57" s="116" t="s">
        <v>264</v>
      </c>
      <c r="T57" s="2"/>
      <c r="U57" s="2"/>
      <c r="V57" s="2"/>
      <c r="W57" s="23"/>
      <c r="Y57" s="18"/>
      <c r="Z57" s="1"/>
      <c r="AA57" s="1"/>
      <c r="AB57" s="2"/>
      <c r="AC57" s="3"/>
      <c r="AD57" s="4"/>
      <c r="AE57" s="4"/>
      <c r="AF57" s="24"/>
      <c r="AG57" s="2"/>
      <c r="AH57" s="23"/>
    </row>
    <row r="58" spans="1:34">
      <c r="A58" t="s">
        <v>114</v>
      </c>
      <c r="B58" s="18">
        <v>5</v>
      </c>
      <c r="C58" s="1"/>
      <c r="D58" s="115">
        <v>46126</v>
      </c>
      <c r="E58" s="116" t="s">
        <v>103</v>
      </c>
      <c r="F58" s="114"/>
      <c r="G58" s="116" t="s">
        <v>192</v>
      </c>
      <c r="H58" s="117">
        <v>500</v>
      </c>
      <c r="I58" s="118">
        <v>479.76</v>
      </c>
      <c r="J58" s="4">
        <f t="shared" si="21"/>
        <v>239880</v>
      </c>
      <c r="K58" s="4">
        <f t="shared" si="22"/>
        <v>503.74799999999999</v>
      </c>
      <c r="L58" s="1">
        <f>D58+18</f>
        <v>46144</v>
      </c>
      <c r="M58" s="121">
        <f t="shared" si="19"/>
        <v>251874</v>
      </c>
      <c r="N58" s="22" t="s">
        <v>98</v>
      </c>
      <c r="O58" s="2"/>
      <c r="P58" s="7">
        <f t="shared" ca="1" si="25"/>
        <v>44</v>
      </c>
      <c r="Q58" s="2"/>
      <c r="R58" s="2"/>
      <c r="S58" s="116" t="s">
        <v>219</v>
      </c>
      <c r="T58" s="2"/>
      <c r="U58" s="2"/>
      <c r="V58" s="2"/>
      <c r="W58" s="23">
        <v>46155</v>
      </c>
      <c r="Y58" s="18"/>
      <c r="Z58" s="1"/>
      <c r="AA58" s="1"/>
      <c r="AB58" s="2"/>
      <c r="AC58" s="3"/>
      <c r="AD58" s="4"/>
      <c r="AE58" s="4"/>
      <c r="AF58" s="24"/>
      <c r="AG58" s="2"/>
      <c r="AH58" s="23"/>
    </row>
    <row r="59" spans="1:34">
      <c r="A59" t="s">
        <v>114</v>
      </c>
      <c r="B59" s="18">
        <v>6</v>
      </c>
      <c r="C59" s="1"/>
      <c r="D59" s="115">
        <v>46132</v>
      </c>
      <c r="E59" s="116" t="s">
        <v>215</v>
      </c>
      <c r="F59" s="114"/>
      <c r="G59" s="116" t="s">
        <v>182</v>
      </c>
      <c r="H59" s="117">
        <v>62.92</v>
      </c>
      <c r="I59" s="118">
        <v>328.57</v>
      </c>
      <c r="J59" s="4">
        <f t="shared" si="21"/>
        <v>20673.624400000001</v>
      </c>
      <c r="K59" s="4">
        <f t="shared" si="22"/>
        <v>344.99850000000004</v>
      </c>
      <c r="L59" s="1">
        <f t="shared" ref="L59:L65" si="26">D59+45</f>
        <v>46177</v>
      </c>
      <c r="M59" s="104">
        <f t="shared" si="19"/>
        <v>21707.305620000003</v>
      </c>
      <c r="N59" s="25">
        <v>21707</v>
      </c>
      <c r="O59" s="2"/>
      <c r="P59" s="7">
        <f t="shared" ca="1" si="25"/>
        <v>12</v>
      </c>
      <c r="Q59" s="2"/>
      <c r="R59" s="2"/>
      <c r="S59" s="116" t="s">
        <v>220</v>
      </c>
      <c r="T59" s="2"/>
      <c r="U59" s="2"/>
      <c r="V59" s="2"/>
      <c r="W59" s="23"/>
      <c r="Y59" s="18"/>
      <c r="Z59" s="1"/>
      <c r="AA59" s="1"/>
      <c r="AB59" s="2"/>
      <c r="AC59" s="3"/>
      <c r="AD59" s="4"/>
      <c r="AE59" s="4"/>
      <c r="AF59" s="24"/>
      <c r="AG59" s="2"/>
      <c r="AH59" s="23"/>
    </row>
    <row r="60" spans="1:34">
      <c r="A60" t="s">
        <v>114</v>
      </c>
      <c r="B60" s="18">
        <v>7</v>
      </c>
      <c r="C60" s="1"/>
      <c r="D60" s="115">
        <v>46133</v>
      </c>
      <c r="E60" s="116" t="s">
        <v>215</v>
      </c>
      <c r="F60" s="114"/>
      <c r="G60" s="116" t="s">
        <v>182</v>
      </c>
      <c r="H60" s="117">
        <v>63.64</v>
      </c>
      <c r="I60" s="118">
        <v>328.56</v>
      </c>
      <c r="J60" s="4">
        <f t="shared" si="21"/>
        <v>20909.558400000002</v>
      </c>
      <c r="K60" s="4">
        <f t="shared" si="22"/>
        <v>344.988</v>
      </c>
      <c r="L60" s="1">
        <f t="shared" si="26"/>
        <v>46178</v>
      </c>
      <c r="M60" s="104">
        <f t="shared" si="19"/>
        <v>21955.036319999999</v>
      </c>
      <c r="N60" s="25">
        <v>21955</v>
      </c>
      <c r="O60" s="2"/>
      <c r="P60" s="7">
        <f t="shared" ca="1" si="25"/>
        <v>11</v>
      </c>
      <c r="Q60" s="2"/>
      <c r="R60" s="2"/>
      <c r="S60" s="116" t="s">
        <v>221</v>
      </c>
      <c r="T60" s="2"/>
      <c r="U60" s="2"/>
      <c r="V60" s="2"/>
      <c r="W60" s="23"/>
      <c r="Y60" s="18"/>
      <c r="Z60" s="1"/>
      <c r="AA60" s="1"/>
      <c r="AB60" s="2"/>
      <c r="AC60" s="3"/>
      <c r="AD60" s="4"/>
      <c r="AE60" s="4"/>
      <c r="AF60" s="24"/>
      <c r="AG60" s="2"/>
      <c r="AH60" s="23"/>
    </row>
    <row r="61" spans="1:34">
      <c r="A61" t="s">
        <v>114</v>
      </c>
      <c r="B61" s="18">
        <v>8</v>
      </c>
      <c r="C61" s="1"/>
      <c r="D61" s="115">
        <v>46134</v>
      </c>
      <c r="E61" s="116" t="s">
        <v>19</v>
      </c>
      <c r="F61" s="114"/>
      <c r="G61" s="116" t="s">
        <v>166</v>
      </c>
      <c r="H61" s="117">
        <v>772.89</v>
      </c>
      <c r="I61" s="118">
        <v>199.2</v>
      </c>
      <c r="J61" s="4">
        <f t="shared" si="21"/>
        <v>153959.68799999999</v>
      </c>
      <c r="K61" s="4">
        <f t="shared" si="22"/>
        <v>209.16</v>
      </c>
      <c r="L61" s="1">
        <f>D61+18</f>
        <v>46152</v>
      </c>
      <c r="M61" s="122">
        <f t="shared" si="19"/>
        <v>161657.67239999998</v>
      </c>
      <c r="N61" s="22" t="s">
        <v>98</v>
      </c>
      <c r="O61" s="2"/>
      <c r="P61" s="7">
        <f t="shared" ca="1" si="25"/>
        <v>36</v>
      </c>
      <c r="Q61" s="2"/>
      <c r="R61" s="2"/>
      <c r="S61" s="116" t="s">
        <v>222</v>
      </c>
      <c r="T61" s="2"/>
      <c r="U61" s="2"/>
      <c r="V61" s="2"/>
      <c r="W61" s="23">
        <v>46151</v>
      </c>
      <c r="Y61" s="18"/>
      <c r="Z61" s="1"/>
      <c r="AA61" s="1"/>
      <c r="AB61" s="2"/>
      <c r="AC61" s="3"/>
      <c r="AD61" s="4"/>
      <c r="AE61" s="4"/>
      <c r="AF61" s="24"/>
      <c r="AG61" s="2"/>
      <c r="AH61" s="23"/>
    </row>
    <row r="62" spans="1:34">
      <c r="A62" t="s">
        <v>114</v>
      </c>
      <c r="B62" s="18">
        <v>9</v>
      </c>
      <c r="C62" s="1"/>
      <c r="D62" s="115">
        <v>46134</v>
      </c>
      <c r="E62" s="116" t="s">
        <v>19</v>
      </c>
      <c r="F62" s="114"/>
      <c r="G62" s="116" t="s">
        <v>166</v>
      </c>
      <c r="H62" s="117">
        <v>387.29</v>
      </c>
      <c r="I62" s="118">
        <v>199.2</v>
      </c>
      <c r="J62" s="4">
        <f t="shared" si="21"/>
        <v>77148.168000000005</v>
      </c>
      <c r="K62" s="4">
        <f t="shared" si="22"/>
        <v>209.16</v>
      </c>
      <c r="L62" s="1">
        <f>D62+18</f>
        <v>46152</v>
      </c>
      <c r="M62" s="122">
        <f t="shared" si="19"/>
        <v>81005.576400000005</v>
      </c>
      <c r="N62" s="22" t="s">
        <v>98</v>
      </c>
      <c r="O62" s="2"/>
      <c r="P62" s="7">
        <f t="shared" ca="1" si="25"/>
        <v>36</v>
      </c>
      <c r="Q62" s="2"/>
      <c r="R62" s="2"/>
      <c r="S62" s="116" t="s">
        <v>223</v>
      </c>
      <c r="T62" s="2"/>
      <c r="U62" s="2"/>
      <c r="V62" s="2"/>
      <c r="W62" s="23">
        <v>46151</v>
      </c>
      <c r="Y62" s="18"/>
      <c r="Z62" s="1"/>
      <c r="AA62" s="1"/>
      <c r="AB62" s="2"/>
      <c r="AC62" s="3"/>
      <c r="AD62" s="4"/>
      <c r="AE62" s="4"/>
      <c r="AF62" s="24"/>
      <c r="AG62" s="2"/>
      <c r="AH62" s="23"/>
    </row>
    <row r="63" spans="1:34">
      <c r="A63" t="s">
        <v>114</v>
      </c>
      <c r="B63" s="18">
        <v>10</v>
      </c>
      <c r="C63" s="1"/>
      <c r="D63" s="115">
        <v>46134</v>
      </c>
      <c r="E63" s="116" t="s">
        <v>215</v>
      </c>
      <c r="F63" s="114"/>
      <c r="G63" s="116" t="s">
        <v>182</v>
      </c>
      <c r="H63" s="117">
        <v>98.01</v>
      </c>
      <c r="I63" s="118">
        <v>328.57</v>
      </c>
      <c r="J63" s="4">
        <f t="shared" si="21"/>
        <v>32203.145700000001</v>
      </c>
      <c r="K63" s="4">
        <f t="shared" si="22"/>
        <v>344.99850000000004</v>
      </c>
      <c r="L63" s="1">
        <f t="shared" si="26"/>
        <v>46179</v>
      </c>
      <c r="M63" s="104">
        <f t="shared" si="19"/>
        <v>33813.302985000002</v>
      </c>
      <c r="N63" s="25">
        <v>33813</v>
      </c>
      <c r="O63" s="2"/>
      <c r="P63" s="7">
        <f t="shared" ca="1" si="25"/>
        <v>10</v>
      </c>
      <c r="Q63" s="2"/>
      <c r="R63" s="2"/>
      <c r="S63" s="116" t="s">
        <v>224</v>
      </c>
      <c r="T63" s="2"/>
      <c r="U63" s="2"/>
      <c r="V63" s="2"/>
      <c r="W63" s="23"/>
      <c r="Y63" s="18"/>
      <c r="Z63" s="1"/>
      <c r="AA63" s="1"/>
      <c r="AB63" s="2"/>
      <c r="AC63" s="3"/>
      <c r="AD63" s="4"/>
      <c r="AE63" s="4"/>
      <c r="AF63" s="24"/>
      <c r="AG63" s="2"/>
      <c r="AH63" s="23"/>
    </row>
    <row r="64" spans="1:34">
      <c r="A64" t="s">
        <v>114</v>
      </c>
      <c r="B64" s="18">
        <v>11</v>
      </c>
      <c r="C64" s="1"/>
      <c r="D64" s="115">
        <v>46134</v>
      </c>
      <c r="E64" s="116" t="s">
        <v>91</v>
      </c>
      <c r="F64" s="114"/>
      <c r="G64" s="116" t="s">
        <v>166</v>
      </c>
      <c r="H64" s="144">
        <v>1156.72</v>
      </c>
      <c r="I64" s="118">
        <v>198.09</v>
      </c>
      <c r="J64" s="4">
        <f t="shared" si="21"/>
        <v>229134.6648</v>
      </c>
      <c r="K64" s="4">
        <f t="shared" si="22"/>
        <v>207.99450000000002</v>
      </c>
      <c r="L64" s="1">
        <f>D64+18</f>
        <v>46152</v>
      </c>
      <c r="M64" s="121">
        <f t="shared" si="19"/>
        <v>240591.39804000003</v>
      </c>
      <c r="N64" s="22" t="s">
        <v>97</v>
      </c>
      <c r="O64" s="2"/>
      <c r="P64" s="7">
        <f>DAYS360(L64,W64)-(1)</f>
        <v>2</v>
      </c>
      <c r="Q64" s="66"/>
      <c r="R64" s="2"/>
      <c r="S64" s="116" t="s">
        <v>225</v>
      </c>
      <c r="T64" s="2"/>
      <c r="U64" s="2"/>
      <c r="V64" s="2"/>
      <c r="W64" s="23">
        <v>46155</v>
      </c>
      <c r="Y64" s="18"/>
      <c r="Z64" s="1"/>
      <c r="AA64" s="1"/>
      <c r="AB64" s="2"/>
      <c r="AC64" s="3"/>
      <c r="AD64" s="4"/>
      <c r="AE64" s="4"/>
      <c r="AF64" s="24"/>
      <c r="AG64" s="2"/>
      <c r="AH64" s="23"/>
    </row>
    <row r="65" spans="1:34">
      <c r="A65" t="s">
        <v>114</v>
      </c>
      <c r="B65" s="18">
        <v>12</v>
      </c>
      <c r="C65" s="1"/>
      <c r="D65" s="115">
        <v>46135</v>
      </c>
      <c r="E65" s="116" t="s">
        <v>215</v>
      </c>
      <c r="F65" s="114"/>
      <c r="G65" s="116" t="s">
        <v>182</v>
      </c>
      <c r="H65" s="117">
        <v>94.62</v>
      </c>
      <c r="I65" s="118">
        <v>328.57</v>
      </c>
      <c r="J65" s="4">
        <f t="shared" si="21"/>
        <v>31089.293400000002</v>
      </c>
      <c r="K65" s="4">
        <f t="shared" si="22"/>
        <v>344.99850000000004</v>
      </c>
      <c r="L65" s="1">
        <f t="shared" si="26"/>
        <v>46180</v>
      </c>
      <c r="M65" s="104">
        <f t="shared" si="19"/>
        <v>32643.758070000003</v>
      </c>
      <c r="N65" s="25">
        <v>32644</v>
      </c>
      <c r="O65" s="2"/>
      <c r="P65" s="7">
        <f t="shared" ca="1" si="25"/>
        <v>9</v>
      </c>
      <c r="Q65" s="2"/>
      <c r="R65" s="2"/>
      <c r="S65" s="116" t="s">
        <v>226</v>
      </c>
      <c r="T65" s="2"/>
      <c r="U65" s="2"/>
      <c r="V65" s="2"/>
      <c r="W65" s="23"/>
      <c r="Y65" s="18"/>
      <c r="Z65" s="1"/>
      <c r="AA65" s="1"/>
      <c r="AB65" s="2"/>
      <c r="AC65" s="3"/>
      <c r="AD65" s="4"/>
      <c r="AE65" s="4"/>
      <c r="AF65" s="24"/>
      <c r="AG65" s="2"/>
      <c r="AH65" s="23"/>
    </row>
    <row r="66" spans="1:34">
      <c r="A66" t="s">
        <v>114</v>
      </c>
      <c r="B66" s="18">
        <v>13</v>
      </c>
      <c r="C66" s="1"/>
      <c r="D66" s="115">
        <v>46135</v>
      </c>
      <c r="E66" s="116" t="s">
        <v>91</v>
      </c>
      <c r="F66" s="114"/>
      <c r="G66" s="116" t="s">
        <v>85</v>
      </c>
      <c r="H66" s="117">
        <v>995.96</v>
      </c>
      <c r="I66" s="118">
        <v>310</v>
      </c>
      <c r="J66" s="4">
        <f t="shared" si="21"/>
        <v>308747.60000000003</v>
      </c>
      <c r="K66" s="4">
        <f t="shared" si="22"/>
        <v>325.5</v>
      </c>
      <c r="L66" s="1">
        <f t="shared" ref="L66:L72" si="27">D66+18</f>
        <v>46153</v>
      </c>
      <c r="M66" s="121">
        <f t="shared" si="19"/>
        <v>324184.98000000004</v>
      </c>
      <c r="N66" s="22" t="s">
        <v>97</v>
      </c>
      <c r="O66" s="2"/>
      <c r="P66" s="7">
        <f>DAYS360(L66,W66)-(1)</f>
        <v>1</v>
      </c>
      <c r="Q66" s="66"/>
      <c r="R66" s="2"/>
      <c r="S66" s="116" t="s">
        <v>227</v>
      </c>
      <c r="T66" s="2"/>
      <c r="U66" s="2"/>
      <c r="V66" s="2"/>
      <c r="W66" s="23">
        <v>46155</v>
      </c>
      <c r="Y66" s="18"/>
      <c r="Z66" s="1"/>
      <c r="AA66" s="1"/>
      <c r="AB66" s="2"/>
      <c r="AC66" s="3"/>
      <c r="AD66" s="4"/>
      <c r="AE66" s="4"/>
      <c r="AF66" s="24"/>
      <c r="AG66" s="2"/>
      <c r="AH66" s="23"/>
    </row>
    <row r="67" spans="1:34">
      <c r="A67" t="s">
        <v>114</v>
      </c>
      <c r="B67" s="18">
        <v>14</v>
      </c>
      <c r="C67" s="1"/>
      <c r="D67" s="115">
        <v>46137</v>
      </c>
      <c r="E67" s="116" t="s">
        <v>213</v>
      </c>
      <c r="F67" s="114"/>
      <c r="G67" s="116" t="s">
        <v>214</v>
      </c>
      <c r="H67" s="117">
        <v>20</v>
      </c>
      <c r="I67" s="125">
        <v>328.57</v>
      </c>
      <c r="J67" s="4">
        <f t="shared" ref="J67" si="28">H67*I67</f>
        <v>6571.4</v>
      </c>
      <c r="K67" s="4">
        <f t="shared" ref="K67" si="29">I67*1.05</f>
        <v>344.99850000000004</v>
      </c>
      <c r="L67" s="1">
        <f t="shared" ref="L67" si="30">D67+18</f>
        <v>46155</v>
      </c>
      <c r="M67" s="121">
        <f t="shared" ref="M67" si="31">H67*K67</f>
        <v>6899.9700000000012</v>
      </c>
      <c r="N67" s="22">
        <v>6900</v>
      </c>
      <c r="O67" s="2"/>
      <c r="P67" s="7">
        <f t="shared" ca="1" si="25"/>
        <v>33</v>
      </c>
      <c r="Q67" s="2"/>
      <c r="R67" s="2"/>
      <c r="S67" s="116" t="s">
        <v>263</v>
      </c>
      <c r="T67" s="2"/>
      <c r="U67" s="2"/>
      <c r="V67" s="2"/>
      <c r="W67" s="23"/>
      <c r="Y67" s="18"/>
      <c r="Z67" s="1"/>
      <c r="AA67" s="1"/>
      <c r="AB67" s="2"/>
      <c r="AC67" s="3"/>
      <c r="AD67" s="4"/>
      <c r="AE67" s="4"/>
      <c r="AF67" s="24"/>
      <c r="AG67" s="2"/>
      <c r="AH67" s="23"/>
    </row>
    <row r="68" spans="1:34">
      <c r="A68" t="s">
        <v>114</v>
      </c>
      <c r="B68" s="18">
        <v>15</v>
      </c>
      <c r="C68" s="1"/>
      <c r="D68" s="115">
        <v>46139</v>
      </c>
      <c r="E68" s="116" t="s">
        <v>212</v>
      </c>
      <c r="F68" s="114"/>
      <c r="G68" s="116" t="s">
        <v>167</v>
      </c>
      <c r="H68" s="117">
        <v>1011.65</v>
      </c>
      <c r="I68" s="118">
        <v>342.8571</v>
      </c>
      <c r="J68" s="4">
        <f t="shared" si="21"/>
        <v>346851.38521500002</v>
      </c>
      <c r="K68" s="4">
        <f t="shared" si="22"/>
        <v>359.999955</v>
      </c>
      <c r="L68" s="1">
        <f t="shared" si="27"/>
        <v>46157</v>
      </c>
      <c r="M68" s="121">
        <f t="shared" si="19"/>
        <v>364193.95447574998</v>
      </c>
      <c r="N68" s="22" t="s">
        <v>97</v>
      </c>
      <c r="O68" s="2"/>
      <c r="P68" s="7">
        <f t="shared" ca="1" si="25"/>
        <v>31</v>
      </c>
      <c r="Q68" s="2"/>
      <c r="R68" s="2"/>
      <c r="S68" s="116" t="s">
        <v>228</v>
      </c>
      <c r="T68" s="2"/>
      <c r="U68" s="2"/>
      <c r="V68" s="2"/>
      <c r="W68" s="23"/>
      <c r="Y68" s="18"/>
      <c r="Z68" s="1"/>
      <c r="AA68" s="1"/>
      <c r="AB68" s="2"/>
      <c r="AC68" s="3"/>
      <c r="AD68" s="4"/>
      <c r="AE68" s="4"/>
      <c r="AF68" s="24"/>
      <c r="AG68" s="2"/>
      <c r="AH68" s="23"/>
    </row>
    <row r="69" spans="1:34">
      <c r="A69" t="s">
        <v>114</v>
      </c>
      <c r="B69" s="18">
        <v>16</v>
      </c>
      <c r="C69" s="1"/>
      <c r="D69" s="115">
        <v>46140</v>
      </c>
      <c r="E69" s="116" t="s">
        <v>213</v>
      </c>
      <c r="F69" s="114"/>
      <c r="G69" s="116" t="s">
        <v>214</v>
      </c>
      <c r="H69" s="117">
        <v>420</v>
      </c>
      <c r="I69" s="118">
        <v>328.57</v>
      </c>
      <c r="J69" s="4">
        <f t="shared" si="21"/>
        <v>137999.4</v>
      </c>
      <c r="K69" s="4">
        <f t="shared" si="22"/>
        <v>344.99850000000004</v>
      </c>
      <c r="L69" s="1">
        <f t="shared" si="27"/>
        <v>46158</v>
      </c>
      <c r="M69" s="104">
        <f t="shared" si="19"/>
        <v>144899.37000000002</v>
      </c>
      <c r="N69" s="25">
        <v>144899</v>
      </c>
      <c r="O69" s="2"/>
      <c r="P69" s="7">
        <f t="shared" ca="1" si="25"/>
        <v>30</v>
      </c>
      <c r="Q69" s="2"/>
      <c r="R69" s="2"/>
      <c r="S69" s="116" t="s">
        <v>229</v>
      </c>
      <c r="T69" s="2"/>
      <c r="U69" s="2"/>
      <c r="V69" s="2"/>
      <c r="W69" s="23"/>
      <c r="Y69" s="18"/>
      <c r="Z69" s="1"/>
      <c r="AA69" s="1"/>
      <c r="AB69" s="2"/>
      <c r="AC69" s="3"/>
      <c r="AD69" s="4"/>
      <c r="AE69" s="4"/>
      <c r="AF69" s="24"/>
      <c r="AG69" s="2"/>
      <c r="AH69" s="23"/>
    </row>
    <row r="70" spans="1:34">
      <c r="A70" t="s">
        <v>114</v>
      </c>
      <c r="B70" s="18">
        <v>17</v>
      </c>
      <c r="C70" s="1"/>
      <c r="D70" s="115">
        <v>46141</v>
      </c>
      <c r="E70" s="116" t="s">
        <v>177</v>
      </c>
      <c r="F70" s="114"/>
      <c r="G70" s="116" t="s">
        <v>167</v>
      </c>
      <c r="H70" s="117">
        <v>1005.29</v>
      </c>
      <c r="I70" s="118">
        <v>333.33300000000003</v>
      </c>
      <c r="J70" s="4">
        <f t="shared" si="21"/>
        <v>335096.33157000004</v>
      </c>
      <c r="K70" s="4">
        <f t="shared" si="22"/>
        <v>349.99965000000003</v>
      </c>
      <c r="L70" s="1">
        <f>D70+25</f>
        <v>46166</v>
      </c>
      <c r="M70" s="104">
        <f t="shared" si="19"/>
        <v>351851.14814850001</v>
      </c>
      <c r="N70" s="25">
        <v>351851</v>
      </c>
      <c r="O70" s="2"/>
      <c r="P70" s="7">
        <f t="shared" ca="1" si="25"/>
        <v>22</v>
      </c>
      <c r="Q70" s="2"/>
      <c r="R70" s="2"/>
      <c r="S70" s="116" t="s">
        <v>230</v>
      </c>
      <c r="T70" s="2"/>
      <c r="U70" s="2"/>
      <c r="V70" s="2"/>
      <c r="W70" s="23"/>
      <c r="Y70" s="18"/>
      <c r="Z70" s="1"/>
      <c r="AA70" s="1"/>
      <c r="AB70" s="2"/>
      <c r="AC70" s="3"/>
      <c r="AD70" s="4"/>
      <c r="AE70" s="4"/>
      <c r="AF70" s="24"/>
      <c r="AG70" s="2"/>
      <c r="AH70" s="23"/>
    </row>
    <row r="71" spans="1:34">
      <c r="A71" t="s">
        <v>114</v>
      </c>
      <c r="B71" s="18">
        <v>18</v>
      </c>
      <c r="C71" s="1"/>
      <c r="D71" s="115">
        <v>46141</v>
      </c>
      <c r="E71" s="116" t="s">
        <v>177</v>
      </c>
      <c r="F71" s="114"/>
      <c r="G71" s="116" t="s">
        <v>167</v>
      </c>
      <c r="H71" s="117">
        <v>998.67</v>
      </c>
      <c r="I71" s="118">
        <v>333.33300000000003</v>
      </c>
      <c r="J71" s="4">
        <f t="shared" si="21"/>
        <v>332889.66711000004</v>
      </c>
      <c r="K71" s="4">
        <f t="shared" si="22"/>
        <v>349.99965000000003</v>
      </c>
      <c r="L71" s="1">
        <f>D71+25</f>
        <v>46166</v>
      </c>
      <c r="M71" s="104">
        <f t="shared" si="19"/>
        <v>349534.15046550002</v>
      </c>
      <c r="N71" s="25">
        <v>349534</v>
      </c>
      <c r="O71" s="2"/>
      <c r="P71" s="7">
        <f t="shared" ca="1" si="25"/>
        <v>22</v>
      </c>
      <c r="Q71" s="2"/>
      <c r="R71" s="2"/>
      <c r="S71" s="116" t="s">
        <v>231</v>
      </c>
      <c r="T71" s="2"/>
      <c r="U71" s="2"/>
      <c r="V71" s="2"/>
      <c r="W71" s="23"/>
      <c r="Y71" s="18"/>
      <c r="Z71" s="1"/>
      <c r="AA71" s="1"/>
      <c r="AB71" s="2"/>
      <c r="AC71" s="3"/>
      <c r="AD71" s="4"/>
      <c r="AE71" s="4"/>
      <c r="AF71" s="24"/>
      <c r="AG71" s="2"/>
      <c r="AH71" s="23"/>
    </row>
    <row r="72" spans="1:34">
      <c r="A72" t="s">
        <v>114</v>
      </c>
      <c r="B72" s="18">
        <v>19</v>
      </c>
      <c r="C72" s="1"/>
      <c r="D72" s="115">
        <v>46143</v>
      </c>
      <c r="E72" s="116" t="s">
        <v>212</v>
      </c>
      <c r="F72" s="114"/>
      <c r="G72" s="116" t="s">
        <v>167</v>
      </c>
      <c r="H72" s="117">
        <v>989.83</v>
      </c>
      <c r="I72" s="118">
        <v>342.8571</v>
      </c>
      <c r="J72" s="4">
        <f t="shared" si="21"/>
        <v>339370.24329300004</v>
      </c>
      <c r="K72" s="4">
        <f t="shared" si="22"/>
        <v>359.999955</v>
      </c>
      <c r="L72" s="1">
        <f t="shared" si="27"/>
        <v>46161</v>
      </c>
      <c r="M72" s="104">
        <f t="shared" si="19"/>
        <v>356338.75545765</v>
      </c>
      <c r="N72" s="25">
        <v>356339</v>
      </c>
      <c r="O72" s="2"/>
      <c r="P72" s="7">
        <f t="shared" ca="1" si="25"/>
        <v>27</v>
      </c>
      <c r="Q72" s="2"/>
      <c r="R72" s="2"/>
      <c r="S72" s="116" t="s">
        <v>232</v>
      </c>
      <c r="T72" s="2"/>
      <c r="U72" s="2"/>
      <c r="V72" s="2"/>
      <c r="W72" s="23"/>
      <c r="Y72" s="18"/>
      <c r="Z72" s="1"/>
      <c r="AA72" s="1"/>
      <c r="AB72" s="2"/>
      <c r="AC72" s="3"/>
      <c r="AD72" s="4"/>
      <c r="AE72" s="4"/>
      <c r="AF72" s="24"/>
      <c r="AG72" s="2"/>
      <c r="AH72" s="23"/>
    </row>
    <row r="73" spans="1:34">
      <c r="A73" t="s">
        <v>114</v>
      </c>
      <c r="B73" s="18">
        <v>20</v>
      </c>
      <c r="C73" s="1"/>
      <c r="D73" s="115">
        <v>46147</v>
      </c>
      <c r="E73" s="116" t="s">
        <v>177</v>
      </c>
      <c r="F73" s="114"/>
      <c r="G73" s="116" t="s">
        <v>167</v>
      </c>
      <c r="H73" s="117">
        <v>509.41</v>
      </c>
      <c r="I73" s="118">
        <v>333.33300000000003</v>
      </c>
      <c r="J73" s="4">
        <f t="shared" si="21"/>
        <v>169803.16353000002</v>
      </c>
      <c r="K73" s="4">
        <f t="shared" si="22"/>
        <v>349.99965000000003</v>
      </c>
      <c r="L73" s="1">
        <f>D73+25</f>
        <v>46172</v>
      </c>
      <c r="M73" s="104">
        <f t="shared" si="19"/>
        <v>178293.32170650002</v>
      </c>
      <c r="N73" s="25">
        <v>178293</v>
      </c>
      <c r="O73" s="2"/>
      <c r="P73" s="7">
        <f t="shared" ca="1" si="25"/>
        <v>16</v>
      </c>
      <c r="Q73" s="2"/>
      <c r="R73" s="2"/>
      <c r="S73" s="116" t="s">
        <v>233</v>
      </c>
      <c r="T73" s="2"/>
      <c r="U73" s="2"/>
      <c r="V73" s="2"/>
      <c r="W73" s="23"/>
      <c r="Y73" s="18"/>
      <c r="Z73" s="1"/>
      <c r="AA73" s="1"/>
      <c r="AB73" s="2"/>
      <c r="AC73" s="3"/>
      <c r="AD73" s="4"/>
      <c r="AE73" s="4"/>
      <c r="AF73" s="24"/>
      <c r="AG73" s="2"/>
      <c r="AH73" s="23"/>
    </row>
    <row r="74" spans="1:34">
      <c r="A74" t="s">
        <v>114</v>
      </c>
      <c r="B74" s="18">
        <v>21</v>
      </c>
      <c r="C74" s="1"/>
      <c r="D74" s="115">
        <v>46154</v>
      </c>
      <c r="E74" s="116" t="s">
        <v>91</v>
      </c>
      <c r="F74" s="114"/>
      <c r="G74" s="116" t="s">
        <v>166</v>
      </c>
      <c r="H74" s="144">
        <v>313.83999999999997</v>
      </c>
      <c r="I74" s="118">
        <v>200</v>
      </c>
      <c r="J74" s="126">
        <f t="shared" ref="J74:J79" si="32">H74*I74</f>
        <v>62767.999999999993</v>
      </c>
      <c r="K74" s="126">
        <f t="shared" ref="K74:K79" si="33">I74*1.05</f>
        <v>210</v>
      </c>
      <c r="L74" s="127">
        <f t="shared" ref="L74:L79" si="34">D74+18</f>
        <v>46172</v>
      </c>
      <c r="M74" s="128">
        <f t="shared" ref="M74:M79" si="35">H74*K74</f>
        <v>65906.399999999994</v>
      </c>
      <c r="N74" s="129">
        <v>65906</v>
      </c>
      <c r="O74" s="130"/>
      <c r="P74" s="131">
        <f t="shared" ca="1" si="25"/>
        <v>16</v>
      </c>
      <c r="Q74" s="130"/>
      <c r="R74" s="130"/>
      <c r="S74" s="116" t="s">
        <v>265</v>
      </c>
      <c r="T74" s="2"/>
      <c r="U74" s="2"/>
      <c r="V74" s="2"/>
      <c r="W74" s="23"/>
      <c r="Y74" s="18"/>
      <c r="Z74" s="1"/>
      <c r="AA74" s="1"/>
      <c r="AB74" s="2"/>
      <c r="AC74" s="3"/>
      <c r="AD74" s="4"/>
      <c r="AE74" s="4"/>
      <c r="AF74" s="24"/>
      <c r="AG74" s="2"/>
      <c r="AH74" s="23"/>
    </row>
    <row r="75" spans="1:34">
      <c r="A75" t="s">
        <v>114</v>
      </c>
      <c r="B75" s="18">
        <v>22</v>
      </c>
      <c r="C75" s="1"/>
      <c r="D75" s="115">
        <v>46154</v>
      </c>
      <c r="E75" s="116" t="s">
        <v>91</v>
      </c>
      <c r="F75" s="114"/>
      <c r="G75" s="116" t="s">
        <v>166</v>
      </c>
      <c r="H75" s="144">
        <v>384.15</v>
      </c>
      <c r="I75" s="118">
        <v>200</v>
      </c>
      <c r="J75" s="126">
        <f t="shared" si="32"/>
        <v>76830</v>
      </c>
      <c r="K75" s="126">
        <f t="shared" si="33"/>
        <v>210</v>
      </c>
      <c r="L75" s="127">
        <f t="shared" si="34"/>
        <v>46172</v>
      </c>
      <c r="M75" s="128">
        <f t="shared" si="35"/>
        <v>80671.5</v>
      </c>
      <c r="N75" s="129">
        <v>80672</v>
      </c>
      <c r="O75" s="130"/>
      <c r="P75" s="131">
        <f t="shared" ca="1" si="25"/>
        <v>16</v>
      </c>
      <c r="Q75" s="130"/>
      <c r="R75" s="130"/>
      <c r="S75" s="116" t="s">
        <v>266</v>
      </c>
      <c r="T75" s="2"/>
      <c r="U75" s="2"/>
      <c r="V75" s="2"/>
      <c r="W75" s="23"/>
      <c r="Y75" s="18"/>
      <c r="Z75" s="1"/>
      <c r="AA75" s="1"/>
      <c r="AB75" s="2"/>
      <c r="AC75" s="3"/>
      <c r="AD75" s="4"/>
      <c r="AE75" s="4"/>
      <c r="AF75" s="24"/>
      <c r="AG75" s="2"/>
      <c r="AH75" s="23"/>
    </row>
    <row r="76" spans="1:34">
      <c r="A76" t="s">
        <v>114</v>
      </c>
      <c r="B76" s="18">
        <v>23</v>
      </c>
      <c r="C76" s="1"/>
      <c r="D76" s="115">
        <v>46154</v>
      </c>
      <c r="E76" s="116" t="s">
        <v>91</v>
      </c>
      <c r="F76" s="114"/>
      <c r="G76" s="116" t="s">
        <v>166</v>
      </c>
      <c r="H76" s="144">
        <v>385.6</v>
      </c>
      <c r="I76" s="118">
        <v>200</v>
      </c>
      <c r="J76" s="126">
        <f t="shared" si="32"/>
        <v>77120</v>
      </c>
      <c r="K76" s="126">
        <f t="shared" si="33"/>
        <v>210</v>
      </c>
      <c r="L76" s="127">
        <f t="shared" si="34"/>
        <v>46172</v>
      </c>
      <c r="M76" s="128">
        <f t="shared" si="35"/>
        <v>80976</v>
      </c>
      <c r="N76" s="129">
        <v>80976</v>
      </c>
      <c r="O76" s="130"/>
      <c r="P76" s="131">
        <f t="shared" ca="1" si="25"/>
        <v>16</v>
      </c>
      <c r="Q76" s="130"/>
      <c r="R76" s="130"/>
      <c r="S76" s="116" t="s">
        <v>267</v>
      </c>
      <c r="T76" s="2"/>
      <c r="U76" s="2"/>
      <c r="V76" s="2"/>
      <c r="W76" s="23"/>
      <c r="Y76" s="18"/>
      <c r="Z76" s="1"/>
      <c r="AA76" s="1"/>
      <c r="AB76" s="2"/>
      <c r="AC76" s="3"/>
      <c r="AD76" s="4"/>
      <c r="AE76" s="4"/>
      <c r="AF76" s="24"/>
      <c r="AG76" s="2"/>
      <c r="AH76" s="23"/>
    </row>
    <row r="77" spans="1:34">
      <c r="A77" t="s">
        <v>114</v>
      </c>
      <c r="B77" s="18">
        <v>24</v>
      </c>
      <c r="C77" s="1"/>
      <c r="D77" s="115">
        <v>46154</v>
      </c>
      <c r="E77" s="116" t="s">
        <v>177</v>
      </c>
      <c r="F77" s="114"/>
      <c r="G77" s="116" t="s">
        <v>167</v>
      </c>
      <c r="H77" s="117">
        <v>493.84</v>
      </c>
      <c r="I77" s="125">
        <v>333.33</v>
      </c>
      <c r="J77" s="126">
        <f t="shared" si="32"/>
        <v>164611.68719999999</v>
      </c>
      <c r="K77" s="126">
        <f t="shared" si="33"/>
        <v>349.99650000000003</v>
      </c>
      <c r="L77" s="1">
        <f>D77+25</f>
        <v>46179</v>
      </c>
      <c r="M77" s="128">
        <f t="shared" si="35"/>
        <v>172842.27155999999</v>
      </c>
      <c r="N77" s="129">
        <v>172842</v>
      </c>
      <c r="O77" s="130"/>
      <c r="P77" s="131">
        <f t="shared" ca="1" si="25"/>
        <v>10</v>
      </c>
      <c r="Q77" s="130"/>
      <c r="R77" s="130"/>
      <c r="S77" s="116" t="s">
        <v>178</v>
      </c>
      <c r="T77" s="2"/>
      <c r="U77" s="2"/>
      <c r="V77" s="2"/>
      <c r="W77" s="23"/>
      <c r="Y77" s="18"/>
      <c r="Z77" s="1"/>
      <c r="AA77" s="1"/>
      <c r="AB77" s="2"/>
      <c r="AC77" s="3"/>
      <c r="AD77" s="4"/>
      <c r="AE77" s="4"/>
      <c r="AF77" s="24"/>
      <c r="AG77" s="2"/>
      <c r="AH77" s="23"/>
    </row>
    <row r="78" spans="1:34">
      <c r="A78" t="s">
        <v>114</v>
      </c>
      <c r="B78" s="18">
        <v>25</v>
      </c>
      <c r="C78" s="1"/>
      <c r="D78" s="115">
        <v>46155</v>
      </c>
      <c r="E78" s="116" t="s">
        <v>91</v>
      </c>
      <c r="F78" s="114"/>
      <c r="G78" s="116" t="s">
        <v>166</v>
      </c>
      <c r="H78" s="144">
        <v>766.62</v>
      </c>
      <c r="I78" s="118">
        <v>199.04759999999999</v>
      </c>
      <c r="J78" s="126">
        <f t="shared" si="32"/>
        <v>152593.87111199999</v>
      </c>
      <c r="K78" s="126">
        <f t="shared" si="33"/>
        <v>208.99997999999999</v>
      </c>
      <c r="L78" s="127">
        <f t="shared" si="34"/>
        <v>46173</v>
      </c>
      <c r="M78" s="128">
        <f t="shared" si="35"/>
        <v>160223.5646676</v>
      </c>
      <c r="N78" s="129">
        <v>160224</v>
      </c>
      <c r="O78" s="130"/>
      <c r="P78" s="131">
        <f t="shared" ca="1" si="25"/>
        <v>16</v>
      </c>
      <c r="Q78" s="130"/>
      <c r="R78" s="130"/>
      <c r="S78" s="116" t="s">
        <v>268</v>
      </c>
      <c r="T78" s="2"/>
      <c r="U78" s="2"/>
      <c r="V78" s="2"/>
      <c r="W78" s="23"/>
      <c r="Y78" s="18"/>
      <c r="Z78" s="1"/>
      <c r="AA78" s="1"/>
      <c r="AB78" s="2"/>
      <c r="AC78" s="3"/>
      <c r="AD78" s="4"/>
      <c r="AE78" s="4"/>
      <c r="AF78" s="24"/>
      <c r="AG78" s="2"/>
      <c r="AH78" s="23"/>
    </row>
    <row r="79" spans="1:34" s="133" customFormat="1">
      <c r="A79" s="133" t="s">
        <v>114</v>
      </c>
      <c r="B79" s="134">
        <v>26</v>
      </c>
      <c r="C79" s="127"/>
      <c r="D79" s="115">
        <v>46155</v>
      </c>
      <c r="E79" s="116" t="s">
        <v>91</v>
      </c>
      <c r="F79" s="114"/>
      <c r="G79" s="116" t="s">
        <v>166</v>
      </c>
      <c r="H79" s="144">
        <v>775.47</v>
      </c>
      <c r="I79" s="118">
        <v>199.04759999999999</v>
      </c>
      <c r="J79" s="126">
        <f t="shared" si="32"/>
        <v>154355.44237199999</v>
      </c>
      <c r="K79" s="126">
        <f t="shared" si="33"/>
        <v>208.99997999999999</v>
      </c>
      <c r="L79" s="127">
        <f t="shared" si="34"/>
        <v>46173</v>
      </c>
      <c r="M79" s="128">
        <f t="shared" si="35"/>
        <v>162073.21449059999</v>
      </c>
      <c r="N79" s="129">
        <v>162073</v>
      </c>
      <c r="O79" s="130"/>
      <c r="P79" s="131">
        <f t="shared" ca="1" si="25"/>
        <v>16</v>
      </c>
      <c r="Q79" s="130"/>
      <c r="R79" s="130"/>
      <c r="S79" s="116" t="s">
        <v>269</v>
      </c>
      <c r="T79" s="130"/>
      <c r="U79" s="130"/>
      <c r="V79" s="130"/>
      <c r="W79" s="139"/>
      <c r="Y79" s="134"/>
      <c r="Z79" s="127"/>
      <c r="AA79" s="127"/>
      <c r="AB79" s="130"/>
      <c r="AC79" s="140"/>
      <c r="AD79" s="126"/>
      <c r="AE79" s="126"/>
      <c r="AF79" s="141"/>
      <c r="AG79" s="130"/>
      <c r="AH79" s="139"/>
    </row>
    <row r="80" spans="1:34" s="133" customFormat="1">
      <c r="A80" s="133" t="s">
        <v>114</v>
      </c>
      <c r="B80" s="18">
        <v>27</v>
      </c>
      <c r="C80" s="127"/>
      <c r="D80" s="115">
        <v>46160</v>
      </c>
      <c r="E80" s="116" t="s">
        <v>91</v>
      </c>
      <c r="F80" s="114"/>
      <c r="G80" s="116" t="s">
        <v>166</v>
      </c>
      <c r="H80" s="144">
        <v>738.46</v>
      </c>
      <c r="I80" s="118">
        <v>199.04</v>
      </c>
      <c r="J80" s="126">
        <f t="shared" ref="J80:J87" si="36">H80*I80</f>
        <v>146983.0784</v>
      </c>
      <c r="K80" s="126">
        <f t="shared" ref="K80:K87" si="37">I80*1.05</f>
        <v>208.99199999999999</v>
      </c>
      <c r="L80" s="127">
        <f t="shared" ref="L80:L87" si="38">D80+18</f>
        <v>46178</v>
      </c>
      <c r="M80" s="128">
        <f t="shared" ref="M80:M87" si="39">H80*K80</f>
        <v>154332.23232000001</v>
      </c>
      <c r="N80" s="135">
        <v>154338</v>
      </c>
      <c r="O80" s="130"/>
      <c r="P80" s="131"/>
      <c r="Q80" s="130"/>
      <c r="R80" s="130"/>
      <c r="S80" s="116" t="s">
        <v>287</v>
      </c>
      <c r="T80" s="130"/>
      <c r="U80" s="130"/>
      <c r="V80" s="130"/>
      <c r="W80" s="139"/>
      <c r="Y80" s="134"/>
      <c r="Z80" s="127"/>
      <c r="AA80" s="127"/>
      <c r="AB80" s="130"/>
      <c r="AC80" s="140"/>
      <c r="AD80" s="126"/>
      <c r="AE80" s="126"/>
      <c r="AF80" s="141"/>
      <c r="AG80" s="130"/>
      <c r="AH80" s="139"/>
    </row>
    <row r="81" spans="1:34" s="133" customFormat="1">
      <c r="A81" s="133" t="s">
        <v>114</v>
      </c>
      <c r="B81" s="134">
        <v>28</v>
      </c>
      <c r="C81" s="127"/>
      <c r="D81" s="115">
        <v>46162</v>
      </c>
      <c r="E81" s="116" t="s">
        <v>284</v>
      </c>
      <c r="F81" s="114"/>
      <c r="G81" s="116" t="s">
        <v>182</v>
      </c>
      <c r="H81" s="117">
        <v>372.29</v>
      </c>
      <c r="I81" s="118">
        <v>324</v>
      </c>
      <c r="J81" s="126">
        <f t="shared" si="36"/>
        <v>120621.96</v>
      </c>
      <c r="K81" s="126">
        <f t="shared" si="37"/>
        <v>340.2</v>
      </c>
      <c r="L81" s="127">
        <f t="shared" si="38"/>
        <v>46180</v>
      </c>
      <c r="M81" s="128">
        <f t="shared" si="39"/>
        <v>126653.058</v>
      </c>
      <c r="N81" s="135">
        <v>126653</v>
      </c>
      <c r="O81" s="130"/>
      <c r="P81" s="131"/>
      <c r="Q81" s="130"/>
      <c r="R81" s="130"/>
      <c r="S81" s="116" t="s">
        <v>288</v>
      </c>
      <c r="T81" s="130"/>
      <c r="U81" s="130"/>
      <c r="V81" s="130"/>
      <c r="W81" s="139"/>
      <c r="Y81" s="134"/>
      <c r="Z81" s="127"/>
      <c r="AA81" s="127"/>
      <c r="AB81" s="130"/>
      <c r="AC81" s="140"/>
      <c r="AD81" s="126"/>
      <c r="AE81" s="126"/>
      <c r="AF81" s="141"/>
      <c r="AG81" s="130"/>
      <c r="AH81" s="139"/>
    </row>
    <row r="82" spans="1:34" s="133" customFormat="1">
      <c r="A82" s="133" t="s">
        <v>114</v>
      </c>
      <c r="B82" s="18">
        <v>29</v>
      </c>
      <c r="C82" s="127"/>
      <c r="D82" s="115">
        <v>46167</v>
      </c>
      <c r="E82" s="116" t="s">
        <v>91</v>
      </c>
      <c r="F82" s="114"/>
      <c r="G82" s="116" t="s">
        <v>166</v>
      </c>
      <c r="H82" s="144">
        <v>745.32</v>
      </c>
      <c r="I82" s="118">
        <v>207.2</v>
      </c>
      <c r="J82" s="126">
        <f t="shared" si="36"/>
        <v>154430.304</v>
      </c>
      <c r="K82" s="126">
        <f t="shared" si="37"/>
        <v>217.56</v>
      </c>
      <c r="L82" s="127">
        <f t="shared" si="38"/>
        <v>46185</v>
      </c>
      <c r="M82" s="128">
        <f t="shared" si="39"/>
        <v>162151.8192</v>
      </c>
      <c r="N82" s="135">
        <v>162152</v>
      </c>
      <c r="O82" s="130"/>
      <c r="P82" s="131"/>
      <c r="Q82" s="130"/>
      <c r="R82" s="130"/>
      <c r="S82" s="116" t="s">
        <v>289</v>
      </c>
      <c r="T82" s="130"/>
      <c r="U82" s="130"/>
      <c r="V82" s="130"/>
      <c r="W82" s="139"/>
      <c r="Y82" s="134"/>
      <c r="Z82" s="127"/>
      <c r="AA82" s="127"/>
      <c r="AB82" s="130"/>
      <c r="AC82" s="140"/>
      <c r="AD82" s="126"/>
      <c r="AE82" s="126"/>
      <c r="AF82" s="141"/>
      <c r="AG82" s="130"/>
      <c r="AH82" s="139"/>
    </row>
    <row r="83" spans="1:34" s="133" customFormat="1">
      <c r="A83" s="133" t="s">
        <v>114</v>
      </c>
      <c r="B83" s="134">
        <v>30</v>
      </c>
      <c r="C83" s="127"/>
      <c r="D83" s="115">
        <v>46170</v>
      </c>
      <c r="E83" s="116" t="s">
        <v>295</v>
      </c>
      <c r="F83" s="19" t="s">
        <v>297</v>
      </c>
      <c r="G83" s="116" t="s">
        <v>296</v>
      </c>
      <c r="H83" s="117">
        <v>1153</v>
      </c>
      <c r="I83" s="118">
        <v>340</v>
      </c>
      <c r="J83" s="126">
        <f t="shared" si="36"/>
        <v>392020</v>
      </c>
      <c r="K83" s="126">
        <f t="shared" si="37"/>
        <v>357</v>
      </c>
      <c r="L83" s="127">
        <f t="shared" si="38"/>
        <v>46188</v>
      </c>
      <c r="M83" s="128">
        <f t="shared" si="39"/>
        <v>411621</v>
      </c>
      <c r="N83" s="135">
        <v>411621</v>
      </c>
      <c r="O83" s="130"/>
      <c r="P83" s="131"/>
      <c r="Q83" s="130"/>
      <c r="R83" s="130"/>
      <c r="S83" s="116" t="s">
        <v>290</v>
      </c>
      <c r="T83" s="130"/>
      <c r="U83" s="130"/>
      <c r="V83" s="130"/>
      <c r="W83" s="139"/>
      <c r="Y83" s="134"/>
      <c r="Z83" s="127"/>
      <c r="AA83" s="127"/>
      <c r="AB83" s="130"/>
      <c r="AC83" s="140"/>
      <c r="AD83" s="126"/>
      <c r="AE83" s="126"/>
      <c r="AF83" s="141"/>
      <c r="AG83" s="130"/>
      <c r="AH83" s="139"/>
    </row>
    <row r="84" spans="1:34" s="133" customFormat="1">
      <c r="A84" s="133" t="s">
        <v>114</v>
      </c>
      <c r="B84" s="18">
        <v>31</v>
      </c>
      <c r="C84" s="127"/>
      <c r="D84" s="115">
        <v>46170</v>
      </c>
      <c r="E84" s="116" t="s">
        <v>295</v>
      </c>
      <c r="F84" s="19" t="s">
        <v>297</v>
      </c>
      <c r="G84" s="116" t="s">
        <v>296</v>
      </c>
      <c r="H84" s="117">
        <v>1150</v>
      </c>
      <c r="I84" s="118">
        <v>340</v>
      </c>
      <c r="J84" s="126">
        <f t="shared" si="36"/>
        <v>391000</v>
      </c>
      <c r="K84" s="126">
        <f t="shared" si="37"/>
        <v>357</v>
      </c>
      <c r="L84" s="127">
        <f t="shared" si="38"/>
        <v>46188</v>
      </c>
      <c r="M84" s="128">
        <f t="shared" si="39"/>
        <v>410550</v>
      </c>
      <c r="N84" s="135">
        <v>410550</v>
      </c>
      <c r="O84" s="130"/>
      <c r="P84" s="131"/>
      <c r="Q84" s="130"/>
      <c r="R84" s="130"/>
      <c r="S84" s="116" t="s">
        <v>291</v>
      </c>
      <c r="T84" s="130"/>
      <c r="U84" s="130"/>
      <c r="V84" s="130"/>
      <c r="W84" s="139"/>
      <c r="Y84" s="134"/>
      <c r="Z84" s="127"/>
      <c r="AA84" s="127"/>
      <c r="AB84" s="130"/>
      <c r="AC84" s="140"/>
      <c r="AD84" s="126"/>
      <c r="AE84" s="126"/>
      <c r="AF84" s="141"/>
      <c r="AG84" s="130"/>
      <c r="AH84" s="139"/>
    </row>
    <row r="85" spans="1:34" s="133" customFormat="1">
      <c r="A85" s="133" t="s">
        <v>114</v>
      </c>
      <c r="B85" s="134">
        <v>32</v>
      </c>
      <c r="C85" s="127"/>
      <c r="D85" s="115">
        <v>46170</v>
      </c>
      <c r="E85" s="116" t="s">
        <v>295</v>
      </c>
      <c r="F85" s="19" t="s">
        <v>297</v>
      </c>
      <c r="G85" s="116" t="s">
        <v>296</v>
      </c>
      <c r="H85" s="117">
        <v>1150</v>
      </c>
      <c r="I85" s="118">
        <v>340</v>
      </c>
      <c r="J85" s="126">
        <f t="shared" si="36"/>
        <v>391000</v>
      </c>
      <c r="K85" s="126">
        <f t="shared" si="37"/>
        <v>357</v>
      </c>
      <c r="L85" s="127">
        <f t="shared" si="38"/>
        <v>46188</v>
      </c>
      <c r="M85" s="128">
        <f t="shared" si="39"/>
        <v>410550</v>
      </c>
      <c r="N85" s="135">
        <v>410550</v>
      </c>
      <c r="O85" s="130"/>
      <c r="P85" s="131"/>
      <c r="Q85" s="130"/>
      <c r="R85" s="130"/>
      <c r="S85" s="116" t="s">
        <v>292</v>
      </c>
      <c r="T85" s="130"/>
      <c r="U85" s="130"/>
      <c r="V85" s="130"/>
      <c r="W85" s="139"/>
      <c r="Y85" s="134"/>
      <c r="Z85" s="127"/>
      <c r="AA85" s="127"/>
      <c r="AB85" s="130"/>
      <c r="AC85" s="140"/>
      <c r="AD85" s="126"/>
      <c r="AE85" s="126"/>
      <c r="AF85" s="141"/>
      <c r="AG85" s="130"/>
      <c r="AH85" s="139"/>
    </row>
    <row r="86" spans="1:34" s="133" customFormat="1">
      <c r="A86" s="133" t="s">
        <v>114</v>
      </c>
      <c r="B86" s="18">
        <v>33</v>
      </c>
      <c r="C86" s="127"/>
      <c r="D86" s="115">
        <v>46170</v>
      </c>
      <c r="E86" s="116" t="s">
        <v>91</v>
      </c>
      <c r="F86" s="114"/>
      <c r="G86" s="116" t="s">
        <v>166</v>
      </c>
      <c r="H86" s="144">
        <v>742.053</v>
      </c>
      <c r="I86" s="118">
        <v>206.24</v>
      </c>
      <c r="J86" s="126">
        <f t="shared" si="36"/>
        <v>153041.01072000002</v>
      </c>
      <c r="K86" s="126">
        <f t="shared" si="37"/>
        <v>216.55200000000002</v>
      </c>
      <c r="L86" s="127">
        <f t="shared" si="38"/>
        <v>46188</v>
      </c>
      <c r="M86" s="128">
        <f t="shared" si="39"/>
        <v>160693.06125600002</v>
      </c>
      <c r="N86" s="135">
        <v>160699</v>
      </c>
      <c r="O86" s="130"/>
      <c r="P86" s="131"/>
      <c r="Q86" s="130"/>
      <c r="R86" s="130"/>
      <c r="S86" s="116" t="s">
        <v>293</v>
      </c>
      <c r="T86" s="130"/>
      <c r="U86" s="130"/>
      <c r="V86" s="130"/>
      <c r="W86" s="139"/>
      <c r="Y86" s="134"/>
      <c r="Z86" s="127"/>
      <c r="AA86" s="127"/>
      <c r="AB86" s="130"/>
      <c r="AC86" s="140"/>
      <c r="AD86" s="126"/>
      <c r="AE86" s="126"/>
      <c r="AF86" s="141"/>
      <c r="AG86" s="130"/>
      <c r="AH86" s="139"/>
    </row>
    <row r="87" spans="1:34" s="133" customFormat="1">
      <c r="A87" s="133" t="s">
        <v>114</v>
      </c>
      <c r="B87" s="134">
        <v>34</v>
      </c>
      <c r="C87" s="127"/>
      <c r="D87" s="115">
        <v>46171</v>
      </c>
      <c r="E87" s="116" t="s">
        <v>212</v>
      </c>
      <c r="F87" s="114"/>
      <c r="G87" s="116" t="s">
        <v>43</v>
      </c>
      <c r="H87" s="117">
        <v>261.07</v>
      </c>
      <c r="I87" s="118">
        <v>149</v>
      </c>
      <c r="J87" s="126">
        <f t="shared" si="36"/>
        <v>38899.43</v>
      </c>
      <c r="K87" s="126">
        <f t="shared" si="37"/>
        <v>156.45000000000002</v>
      </c>
      <c r="L87" s="127">
        <f t="shared" si="38"/>
        <v>46189</v>
      </c>
      <c r="M87" s="128">
        <f t="shared" si="39"/>
        <v>40844.4015</v>
      </c>
      <c r="N87" s="135">
        <v>40844</v>
      </c>
      <c r="O87" s="130"/>
      <c r="P87" s="131"/>
      <c r="Q87" s="130"/>
      <c r="R87" s="130"/>
      <c r="S87" s="116" t="s">
        <v>294</v>
      </c>
      <c r="T87" s="130"/>
      <c r="U87" s="130"/>
      <c r="V87" s="130"/>
      <c r="W87" s="139"/>
      <c r="Y87" s="134"/>
      <c r="Z87" s="127"/>
      <c r="AA87" s="127"/>
      <c r="AB87" s="130"/>
      <c r="AC87" s="140"/>
      <c r="AD87" s="126"/>
      <c r="AE87" s="126"/>
      <c r="AF87" s="141"/>
      <c r="AG87" s="130"/>
      <c r="AH87" s="139"/>
    </row>
    <row r="88" spans="1:34">
      <c r="A88" t="s">
        <v>114</v>
      </c>
      <c r="B88" s="18"/>
      <c r="C88" s="1"/>
      <c r="D88" s="1"/>
      <c r="E88" s="19"/>
      <c r="F88" s="19"/>
      <c r="G88" s="2"/>
      <c r="H88" s="3"/>
      <c r="I88" s="4"/>
      <c r="J88" s="4"/>
      <c r="K88" s="4"/>
      <c r="L88" s="1"/>
      <c r="M88" s="24"/>
      <c r="N88" s="25"/>
      <c r="O88" s="2"/>
      <c r="P88" s="7"/>
      <c r="Q88" s="2"/>
      <c r="R88" s="2"/>
      <c r="S88" s="2"/>
      <c r="T88" s="2"/>
      <c r="U88" s="2"/>
      <c r="V88" s="2"/>
      <c r="W88" s="23"/>
      <c r="Y88" s="18"/>
      <c r="Z88" s="1"/>
      <c r="AA88" s="1"/>
      <c r="AB88" s="2"/>
      <c r="AC88" s="3"/>
      <c r="AD88" s="4"/>
      <c r="AE88" s="4"/>
      <c r="AF88" s="24"/>
      <c r="AG88" s="2"/>
      <c r="AH88" s="23"/>
    </row>
    <row r="89" spans="1:34">
      <c r="A89" t="s">
        <v>114</v>
      </c>
      <c r="B89" s="18"/>
      <c r="C89" s="1"/>
      <c r="D89" s="1"/>
      <c r="E89" s="19"/>
      <c r="F89" s="19"/>
      <c r="G89" s="2"/>
      <c r="H89" s="3"/>
      <c r="I89" s="4"/>
      <c r="J89" s="4"/>
      <c r="K89" s="4"/>
      <c r="L89" s="1"/>
      <c r="M89" s="24"/>
      <c r="N89" s="25"/>
      <c r="O89" s="2"/>
      <c r="P89" s="7"/>
      <c r="Q89" s="2"/>
      <c r="R89" s="2"/>
      <c r="S89" s="2"/>
      <c r="T89" s="2"/>
      <c r="U89" s="2"/>
      <c r="V89" s="2"/>
      <c r="W89" s="23"/>
      <c r="Y89" s="18"/>
      <c r="Z89" s="1"/>
      <c r="AA89" s="1"/>
      <c r="AB89" s="2"/>
      <c r="AC89" s="3"/>
      <c r="AD89" s="4"/>
      <c r="AE89" s="4"/>
      <c r="AF89" s="24"/>
      <c r="AG89" s="2"/>
      <c r="AH89" s="23"/>
    </row>
    <row r="90" spans="1:34">
      <c r="A90" t="s">
        <v>114</v>
      </c>
      <c r="B90" s="18"/>
      <c r="C90" s="1"/>
      <c r="D90" s="1"/>
      <c r="E90" s="19"/>
      <c r="F90" s="19"/>
      <c r="G90" s="2"/>
      <c r="H90" s="3"/>
      <c r="I90" s="4"/>
      <c r="J90" s="4"/>
      <c r="K90" s="4"/>
      <c r="L90" s="1"/>
      <c r="M90" s="24"/>
      <c r="N90" s="25"/>
      <c r="O90" s="2"/>
      <c r="P90" s="7"/>
      <c r="Q90" s="2"/>
      <c r="R90" s="2"/>
      <c r="S90" s="2"/>
      <c r="T90" s="2"/>
      <c r="U90" s="2"/>
      <c r="V90" s="2"/>
      <c r="W90" s="23"/>
      <c r="Y90" s="18"/>
      <c r="Z90" s="1"/>
      <c r="AA90" s="1"/>
      <c r="AB90" s="2"/>
      <c r="AC90" s="3"/>
      <c r="AD90" s="4"/>
      <c r="AE90" s="4"/>
      <c r="AF90" s="24"/>
      <c r="AG90" s="2"/>
      <c r="AH90" s="23"/>
    </row>
    <row r="91" spans="1:34">
      <c r="A91" t="s">
        <v>114</v>
      </c>
      <c r="B91" s="18"/>
      <c r="C91" s="1"/>
      <c r="D91" s="1"/>
      <c r="E91" s="19"/>
      <c r="F91" s="19"/>
      <c r="G91" s="2"/>
      <c r="H91" s="3"/>
      <c r="I91" s="4"/>
      <c r="J91" s="4"/>
      <c r="K91" s="4"/>
      <c r="L91" s="1"/>
      <c r="M91" s="24"/>
      <c r="N91" s="25"/>
      <c r="O91" s="2"/>
      <c r="P91" s="7"/>
      <c r="Q91" s="2"/>
      <c r="R91" s="2"/>
      <c r="S91" s="2"/>
      <c r="T91" s="2"/>
      <c r="U91" s="2"/>
      <c r="V91" s="2"/>
      <c r="W91" s="23"/>
      <c r="Y91" s="18"/>
      <c r="Z91" s="1"/>
      <c r="AA91" s="1"/>
      <c r="AB91" s="2"/>
      <c r="AC91" s="3"/>
      <c r="AD91" s="4"/>
      <c r="AE91" s="4"/>
      <c r="AF91" s="24"/>
      <c r="AG91" s="2"/>
      <c r="AH91" s="23"/>
    </row>
    <row r="92" spans="1:34">
      <c r="A92" t="s">
        <v>114</v>
      </c>
      <c r="B92" s="18"/>
      <c r="C92" s="1"/>
      <c r="D92" s="1"/>
      <c r="E92" s="19"/>
      <c r="F92" s="19"/>
      <c r="G92" s="2"/>
      <c r="H92" s="3"/>
      <c r="I92" s="4"/>
      <c r="J92" s="4"/>
      <c r="K92" s="4"/>
      <c r="L92" s="1"/>
      <c r="M92" s="24"/>
      <c r="N92" s="25"/>
      <c r="O92" s="2"/>
      <c r="P92" s="7"/>
      <c r="Q92" s="2"/>
      <c r="R92" s="2"/>
      <c r="S92" s="2"/>
      <c r="T92" s="2"/>
      <c r="U92" s="2"/>
      <c r="V92" s="2"/>
      <c r="W92" s="23"/>
      <c r="Y92" s="18"/>
      <c r="Z92" s="1"/>
      <c r="AA92" s="1"/>
      <c r="AB92" s="2"/>
      <c r="AC92" s="3"/>
      <c r="AD92" s="4"/>
      <c r="AE92" s="4"/>
      <c r="AF92" s="24"/>
      <c r="AG92" s="2"/>
      <c r="AH92" s="23"/>
    </row>
    <row r="93" spans="1:34">
      <c r="A93" t="s">
        <v>114</v>
      </c>
      <c r="B93" s="18"/>
      <c r="C93" s="1"/>
      <c r="D93" s="1"/>
      <c r="E93" s="19"/>
      <c r="F93" s="19"/>
      <c r="G93" s="2"/>
      <c r="H93" s="3"/>
      <c r="I93" s="4"/>
      <c r="J93" s="4"/>
      <c r="K93" s="4"/>
      <c r="L93" s="1"/>
      <c r="M93" s="24"/>
      <c r="N93" s="25"/>
      <c r="O93" s="2"/>
      <c r="P93" s="7"/>
      <c r="Q93" s="2"/>
      <c r="R93" s="2"/>
      <c r="S93" s="2"/>
      <c r="T93" s="2"/>
      <c r="U93" s="2"/>
      <c r="V93" s="2"/>
      <c r="W93" s="23"/>
      <c r="Y93" s="18"/>
      <c r="Z93" s="1"/>
      <c r="AA93" s="1"/>
      <c r="AB93" s="2"/>
      <c r="AC93" s="3"/>
      <c r="AD93" s="4"/>
      <c r="AE93" s="4"/>
      <c r="AF93" s="24"/>
      <c r="AG93" s="2"/>
      <c r="AH93" s="23"/>
    </row>
    <row r="94" spans="1:34">
      <c r="A94" t="s">
        <v>114</v>
      </c>
      <c r="B94" s="18"/>
      <c r="C94" s="1"/>
      <c r="D94" s="1"/>
      <c r="E94" s="19"/>
      <c r="F94" s="19"/>
      <c r="G94" s="2"/>
      <c r="H94" s="3"/>
      <c r="I94" s="4"/>
      <c r="J94" s="4"/>
      <c r="K94" s="4"/>
      <c r="L94" s="1"/>
      <c r="M94" s="24"/>
      <c r="N94" s="25"/>
      <c r="O94" s="2"/>
      <c r="P94" s="7"/>
      <c r="Q94" s="2"/>
      <c r="R94" s="2"/>
      <c r="S94" s="2"/>
      <c r="T94" s="2"/>
      <c r="U94" s="2"/>
      <c r="V94" s="2"/>
      <c r="W94" s="23"/>
      <c r="Y94" s="18"/>
      <c r="Z94" s="1"/>
      <c r="AA94" s="1"/>
      <c r="AB94" s="2"/>
      <c r="AC94" s="3"/>
      <c r="AD94" s="4"/>
      <c r="AE94" s="4"/>
      <c r="AF94" s="24"/>
      <c r="AG94" s="2"/>
      <c r="AH94" s="23"/>
    </row>
    <row r="95" spans="1:34">
      <c r="A95" t="s">
        <v>114</v>
      </c>
      <c r="B95" s="18"/>
      <c r="C95" s="1"/>
      <c r="D95" s="1"/>
      <c r="E95" s="19"/>
      <c r="F95" s="19"/>
      <c r="G95" s="2"/>
      <c r="H95" s="3"/>
      <c r="I95" s="4"/>
      <c r="J95" s="4"/>
      <c r="K95" s="4"/>
      <c r="L95" s="1"/>
      <c r="M95" s="24"/>
      <c r="N95" s="25"/>
      <c r="O95" s="2"/>
      <c r="P95" s="7"/>
      <c r="Q95" s="2"/>
      <c r="R95" s="2"/>
      <c r="S95" s="2"/>
      <c r="T95" s="2"/>
      <c r="U95" s="2"/>
      <c r="V95" s="2"/>
      <c r="W95" s="23"/>
      <c r="Y95" s="18"/>
      <c r="Z95" s="1"/>
      <c r="AA95" s="1"/>
      <c r="AB95" s="2"/>
      <c r="AC95" s="3"/>
      <c r="AD95" s="4"/>
      <c r="AE95" s="4"/>
      <c r="AF95" s="24"/>
      <c r="AG95" s="2"/>
      <c r="AH95" s="23"/>
    </row>
    <row r="96" spans="1:34">
      <c r="A96" t="s">
        <v>114</v>
      </c>
      <c r="B96" s="18"/>
      <c r="C96" s="1"/>
      <c r="D96" s="1"/>
      <c r="E96" s="19"/>
      <c r="F96" s="19"/>
      <c r="G96" s="2"/>
      <c r="H96" s="3"/>
      <c r="I96" s="4"/>
      <c r="J96" s="4"/>
      <c r="K96" s="4"/>
      <c r="L96" s="1"/>
      <c r="M96" s="24"/>
      <c r="N96" s="25"/>
      <c r="O96" s="2"/>
      <c r="P96" s="7"/>
      <c r="Q96" s="2"/>
      <c r="R96" s="2"/>
      <c r="S96" s="2"/>
      <c r="T96" s="2"/>
      <c r="U96" s="2"/>
      <c r="V96" s="2"/>
      <c r="W96" s="23"/>
      <c r="Y96" s="18"/>
      <c r="Z96" s="1"/>
      <c r="AA96" s="1"/>
      <c r="AB96" s="2"/>
      <c r="AC96" s="3"/>
      <c r="AD96" s="4"/>
      <c r="AE96" s="4"/>
      <c r="AF96" s="24"/>
      <c r="AG96" s="2"/>
      <c r="AH96" s="23"/>
    </row>
    <row r="97" spans="1:34">
      <c r="A97" t="s">
        <v>114</v>
      </c>
      <c r="B97" s="18"/>
      <c r="C97" s="1"/>
      <c r="D97" s="1"/>
      <c r="E97" s="19"/>
      <c r="F97" s="19"/>
      <c r="G97" s="2"/>
      <c r="H97" s="3"/>
      <c r="I97" s="4"/>
      <c r="J97" s="4"/>
      <c r="K97" s="4"/>
      <c r="L97" s="1"/>
      <c r="M97" s="24"/>
      <c r="N97" s="25"/>
      <c r="O97" s="2"/>
      <c r="P97" s="7"/>
      <c r="Q97" s="2"/>
      <c r="R97" s="2"/>
      <c r="S97" s="2"/>
      <c r="T97" s="2"/>
      <c r="U97" s="2"/>
      <c r="V97" s="2"/>
      <c r="W97" s="23"/>
      <c r="Y97" s="18"/>
      <c r="Z97" s="1"/>
      <c r="AA97" s="1"/>
      <c r="AB97" s="2"/>
      <c r="AC97" s="3"/>
      <c r="AD97" s="4"/>
      <c r="AE97" s="4"/>
      <c r="AF97" s="24"/>
      <c r="AG97" s="2"/>
      <c r="AH97" s="23"/>
    </row>
    <row r="98" spans="1:34">
      <c r="A98" t="s">
        <v>114</v>
      </c>
      <c r="B98" s="18"/>
      <c r="C98" s="1"/>
      <c r="D98" s="1"/>
      <c r="E98" s="19"/>
      <c r="F98" s="19"/>
      <c r="G98" s="2"/>
      <c r="H98" s="3"/>
      <c r="I98" s="4"/>
      <c r="J98" s="4"/>
      <c r="K98" s="4"/>
      <c r="L98" s="1"/>
      <c r="M98" s="24"/>
      <c r="N98" s="25"/>
      <c r="O98" s="2"/>
      <c r="P98" s="7"/>
      <c r="Q98" s="2"/>
      <c r="R98" s="2"/>
      <c r="S98" s="2"/>
      <c r="T98" s="2"/>
      <c r="U98" s="2"/>
      <c r="V98" s="2"/>
      <c r="W98" s="23"/>
      <c r="Y98" s="18"/>
      <c r="Z98" s="1"/>
      <c r="AA98" s="1"/>
      <c r="AB98" s="2"/>
      <c r="AC98" s="3"/>
      <c r="AD98" s="4"/>
      <c r="AE98" s="4"/>
      <c r="AF98" s="24"/>
      <c r="AG98" s="2"/>
      <c r="AH98" s="23"/>
    </row>
    <row r="99" spans="1:34">
      <c r="A99" t="s">
        <v>114</v>
      </c>
      <c r="B99" s="18"/>
      <c r="C99" s="1"/>
      <c r="D99" s="1"/>
      <c r="E99" s="19"/>
      <c r="F99" s="19"/>
      <c r="G99" s="2"/>
      <c r="H99" s="3"/>
      <c r="I99" s="4"/>
      <c r="J99" s="4"/>
      <c r="K99" s="4"/>
      <c r="L99" s="1"/>
      <c r="M99" s="24"/>
      <c r="N99" s="25"/>
      <c r="O99" s="2"/>
      <c r="P99" s="7"/>
      <c r="Q99" s="2"/>
      <c r="R99" s="2"/>
      <c r="S99" s="2"/>
      <c r="T99" s="2"/>
      <c r="U99" s="2"/>
      <c r="V99" s="2"/>
      <c r="W99" s="23"/>
      <c r="Y99" s="18"/>
      <c r="Z99" s="1"/>
      <c r="AA99" s="1"/>
      <c r="AB99" s="2"/>
      <c r="AC99" s="3"/>
      <c r="AD99" s="4"/>
      <c r="AE99" s="4"/>
      <c r="AF99" s="24"/>
      <c r="AG99" s="2"/>
      <c r="AH99" s="23"/>
    </row>
    <row r="100" spans="1:34">
      <c r="A100" t="s">
        <v>114</v>
      </c>
      <c r="B100" s="18"/>
      <c r="C100" s="1"/>
      <c r="D100" s="1"/>
      <c r="E100" s="19"/>
      <c r="F100" s="19"/>
      <c r="G100" s="2"/>
      <c r="H100" s="3"/>
      <c r="I100" s="4"/>
      <c r="J100" s="4"/>
      <c r="K100" s="4"/>
      <c r="L100" s="1"/>
      <c r="M100" s="24"/>
      <c r="N100" s="25"/>
      <c r="O100" s="2"/>
      <c r="P100" s="7"/>
      <c r="Q100" s="2"/>
      <c r="R100" s="2"/>
      <c r="S100" s="2"/>
      <c r="T100" s="2"/>
      <c r="U100" s="2"/>
      <c r="V100" s="2"/>
      <c r="W100" s="23"/>
      <c r="Y100" s="18"/>
      <c r="Z100" s="1"/>
      <c r="AA100" s="1"/>
      <c r="AB100" s="2"/>
      <c r="AC100" s="3"/>
      <c r="AD100" s="4"/>
      <c r="AE100" s="4"/>
      <c r="AF100" s="24"/>
      <c r="AG100" s="2"/>
      <c r="AH100" s="23"/>
    </row>
    <row r="101" spans="1:34">
      <c r="A101" t="s">
        <v>114</v>
      </c>
      <c r="B101" s="18"/>
      <c r="C101" s="1"/>
      <c r="D101" s="1"/>
      <c r="E101" s="19"/>
      <c r="F101" s="19"/>
      <c r="G101" s="2"/>
      <c r="H101" s="3"/>
      <c r="I101" s="4"/>
      <c r="J101" s="4"/>
      <c r="K101" s="4"/>
      <c r="L101" s="1"/>
      <c r="M101" s="24"/>
      <c r="N101" s="25"/>
      <c r="O101" s="2"/>
      <c r="P101" s="7"/>
      <c r="Q101" s="2"/>
      <c r="R101" s="2"/>
      <c r="S101" s="2"/>
      <c r="T101" s="2"/>
      <c r="U101" s="2"/>
      <c r="V101" s="2"/>
      <c r="W101" s="23"/>
      <c r="Y101" s="18"/>
      <c r="Z101" s="1"/>
      <c r="AA101" s="1"/>
      <c r="AB101" s="2"/>
      <c r="AC101" s="3"/>
      <c r="AD101" s="4"/>
      <c r="AE101" s="4"/>
      <c r="AF101" s="24"/>
      <c r="AG101" s="2"/>
      <c r="AH101" s="23"/>
    </row>
    <row r="102" spans="1:34">
      <c r="A102" t="s">
        <v>114</v>
      </c>
      <c r="B102" s="18"/>
      <c r="C102" s="1"/>
      <c r="D102" s="1"/>
      <c r="E102" s="19"/>
      <c r="F102" s="19"/>
      <c r="G102" s="2"/>
      <c r="H102" s="3"/>
      <c r="I102" s="4"/>
      <c r="J102" s="4"/>
      <c r="K102" s="4"/>
      <c r="L102" s="1"/>
      <c r="M102" s="24"/>
      <c r="N102" s="25"/>
      <c r="O102" s="2"/>
      <c r="P102" s="7"/>
      <c r="Q102" s="2"/>
      <c r="R102" s="2"/>
      <c r="S102" s="2"/>
      <c r="T102" s="2"/>
      <c r="U102" s="2"/>
      <c r="V102" s="2"/>
      <c r="W102" s="23"/>
      <c r="Y102" s="18"/>
      <c r="Z102" s="1"/>
      <c r="AA102" s="1"/>
      <c r="AB102" s="2"/>
      <c r="AC102" s="3"/>
      <c r="AD102" s="4"/>
      <c r="AE102" s="4"/>
      <c r="AF102" s="24"/>
      <c r="AG102" s="2"/>
      <c r="AH102" s="23"/>
    </row>
    <row r="103" spans="1:34">
      <c r="A103" t="s">
        <v>114</v>
      </c>
      <c r="B103" s="18"/>
      <c r="C103" s="1"/>
      <c r="D103" s="1"/>
      <c r="E103" s="19"/>
      <c r="F103" s="19"/>
      <c r="G103" s="2"/>
      <c r="H103" s="3"/>
      <c r="I103" s="4"/>
      <c r="J103" s="4"/>
      <c r="K103" s="4"/>
      <c r="L103" s="1"/>
      <c r="M103" s="24"/>
      <c r="N103" s="25"/>
      <c r="O103" s="2"/>
      <c r="P103" s="7"/>
      <c r="Q103" s="2"/>
      <c r="R103" s="2"/>
      <c r="S103" s="2"/>
      <c r="T103" s="2"/>
      <c r="U103" s="2"/>
      <c r="V103" s="2"/>
      <c r="W103" s="23"/>
      <c r="Y103" s="18"/>
      <c r="Z103" s="1"/>
      <c r="AA103" s="1"/>
      <c r="AB103" s="2"/>
      <c r="AC103" s="3"/>
      <c r="AD103" s="4"/>
      <c r="AE103" s="4"/>
      <c r="AF103" s="24"/>
      <c r="AG103" s="2"/>
      <c r="AH103" s="23"/>
    </row>
    <row r="104" spans="1:34">
      <c r="A104" t="s">
        <v>114</v>
      </c>
      <c r="B104" s="18"/>
      <c r="C104" s="1"/>
      <c r="D104" s="1"/>
      <c r="E104" s="19"/>
      <c r="F104" s="19"/>
      <c r="G104" s="2"/>
      <c r="H104" s="3"/>
      <c r="I104" s="4"/>
      <c r="J104" s="4"/>
      <c r="K104" s="4"/>
      <c r="L104" s="1"/>
      <c r="M104" s="24"/>
      <c r="N104" s="25"/>
      <c r="O104" s="2"/>
      <c r="P104" s="7"/>
      <c r="Q104" s="2"/>
      <c r="R104" s="2"/>
      <c r="S104" s="2"/>
      <c r="T104" s="2"/>
      <c r="U104" s="2"/>
      <c r="V104" s="2"/>
      <c r="W104" s="23"/>
      <c r="Y104" s="18"/>
      <c r="Z104" s="1"/>
      <c r="AA104" s="1"/>
      <c r="AB104" s="2"/>
      <c r="AC104" s="3"/>
      <c r="AD104" s="4"/>
      <c r="AE104" s="4"/>
      <c r="AF104" s="24"/>
      <c r="AG104" s="2"/>
      <c r="AH104" s="23"/>
    </row>
    <row r="105" spans="1:34">
      <c r="A105" t="s">
        <v>114</v>
      </c>
      <c r="B105" s="18"/>
      <c r="C105" s="1"/>
      <c r="D105" s="1"/>
      <c r="E105" s="19"/>
      <c r="F105" s="19"/>
      <c r="G105" s="2"/>
      <c r="H105" s="3"/>
      <c r="I105" s="4"/>
      <c r="J105" s="4"/>
      <c r="K105" s="4"/>
      <c r="L105" s="1"/>
      <c r="M105" s="24"/>
      <c r="N105" s="25"/>
      <c r="O105" s="2"/>
      <c r="P105" s="7"/>
      <c r="Q105" s="2"/>
      <c r="R105" s="2"/>
      <c r="S105" s="2"/>
      <c r="T105" s="2"/>
      <c r="U105" s="2"/>
      <c r="V105" s="2"/>
      <c r="W105" s="23"/>
      <c r="Y105" s="18"/>
      <c r="Z105" s="1"/>
      <c r="AA105" s="1"/>
      <c r="AB105" s="2"/>
      <c r="AC105" s="3"/>
      <c r="AD105" s="4"/>
      <c r="AE105" s="4"/>
      <c r="AF105" s="24"/>
      <c r="AG105" s="2"/>
      <c r="AH105" s="23"/>
    </row>
    <row r="106" spans="1:34">
      <c r="A106" t="s">
        <v>114</v>
      </c>
      <c r="B106" s="18"/>
      <c r="C106" s="1"/>
      <c r="D106" s="1"/>
      <c r="E106" s="19"/>
      <c r="F106" s="19"/>
      <c r="G106" s="2"/>
      <c r="H106" s="3"/>
      <c r="I106" s="4"/>
      <c r="J106" s="4"/>
      <c r="K106" s="4"/>
      <c r="L106" s="1"/>
      <c r="M106" s="24"/>
      <c r="N106" s="25"/>
      <c r="O106" s="2"/>
      <c r="P106" s="7"/>
      <c r="Q106" s="2"/>
      <c r="R106" s="2"/>
      <c r="S106" s="2"/>
      <c r="T106" s="2"/>
      <c r="U106" s="2"/>
      <c r="V106" s="2"/>
      <c r="W106" s="23"/>
      <c r="Y106" s="18"/>
      <c r="Z106" s="1"/>
      <c r="AA106" s="1"/>
      <c r="AB106" s="2"/>
      <c r="AC106" s="3"/>
      <c r="AD106" s="4"/>
      <c r="AE106" s="4"/>
      <c r="AF106" s="24"/>
      <c r="AG106" s="2"/>
      <c r="AH106" s="23"/>
    </row>
    <row r="107" spans="1:34">
      <c r="A107" t="s">
        <v>114</v>
      </c>
      <c r="B107" s="18"/>
      <c r="C107" s="1"/>
      <c r="D107" s="1"/>
      <c r="E107" s="19"/>
      <c r="F107" s="19"/>
      <c r="G107" s="2"/>
      <c r="H107" s="3"/>
      <c r="I107" s="4"/>
      <c r="J107" s="4"/>
      <c r="K107" s="4"/>
      <c r="L107" s="1"/>
      <c r="M107" s="24"/>
      <c r="N107" s="25"/>
      <c r="O107" s="2"/>
      <c r="P107" s="7"/>
      <c r="Q107" s="2"/>
      <c r="R107" s="2"/>
      <c r="S107" s="2"/>
      <c r="T107" s="2"/>
      <c r="U107" s="2"/>
      <c r="V107" s="2"/>
      <c r="W107" s="23"/>
      <c r="Y107" s="18"/>
      <c r="Z107" s="1"/>
      <c r="AA107" s="1"/>
      <c r="AB107" s="2"/>
      <c r="AC107" s="3"/>
      <c r="AD107" s="4"/>
      <c r="AE107" s="4"/>
      <c r="AF107" s="24"/>
      <c r="AG107" s="2"/>
      <c r="AH107" s="23"/>
    </row>
    <row r="108" spans="1:34">
      <c r="A108" t="s">
        <v>114</v>
      </c>
      <c r="B108" s="18"/>
      <c r="C108" s="1"/>
      <c r="D108" s="1"/>
      <c r="E108" s="19"/>
      <c r="F108" s="19"/>
      <c r="G108" s="2"/>
      <c r="H108" s="3"/>
      <c r="I108" s="4"/>
      <c r="J108" s="4"/>
      <c r="K108" s="4"/>
      <c r="L108" s="1"/>
      <c r="M108" s="24"/>
      <c r="N108" s="25"/>
      <c r="O108" s="2"/>
      <c r="P108" s="7"/>
      <c r="Q108" s="2"/>
      <c r="R108" s="2"/>
      <c r="S108" s="2"/>
      <c r="T108" s="2"/>
      <c r="U108" s="2"/>
      <c r="V108" s="2"/>
      <c r="W108" s="23"/>
      <c r="Y108" s="18"/>
      <c r="Z108" s="1"/>
      <c r="AA108" s="1"/>
      <c r="AB108" s="2"/>
      <c r="AC108" s="3"/>
      <c r="AD108" s="4"/>
      <c r="AE108" s="4"/>
      <c r="AF108" s="24"/>
      <c r="AG108" s="2"/>
      <c r="AH108" s="23"/>
    </row>
    <row r="109" spans="1:34">
      <c r="A109" t="s">
        <v>114</v>
      </c>
      <c r="B109" s="18"/>
      <c r="C109" s="1"/>
      <c r="D109" s="1"/>
      <c r="E109" s="19"/>
      <c r="F109" s="19"/>
      <c r="G109" s="2"/>
      <c r="H109" s="3"/>
      <c r="I109" s="4"/>
      <c r="J109" s="4"/>
      <c r="K109" s="4"/>
      <c r="L109" s="1"/>
      <c r="M109" s="24"/>
      <c r="N109" s="25"/>
      <c r="O109" s="2"/>
      <c r="P109" s="7"/>
      <c r="Q109" s="2"/>
      <c r="R109" s="2"/>
      <c r="S109" s="2"/>
      <c r="T109" s="2"/>
      <c r="U109" s="2"/>
      <c r="V109" s="2"/>
      <c r="W109" s="23"/>
      <c r="Y109" s="18"/>
      <c r="Z109" s="1"/>
      <c r="AA109" s="1"/>
      <c r="AB109" s="2"/>
      <c r="AC109" s="3"/>
      <c r="AD109" s="4"/>
      <c r="AE109" s="4"/>
      <c r="AF109" s="24"/>
      <c r="AG109" s="2"/>
      <c r="AH109" s="23"/>
    </row>
    <row r="110" spans="1:34">
      <c r="A110" t="s">
        <v>114</v>
      </c>
      <c r="B110" s="18"/>
      <c r="C110" s="1"/>
      <c r="D110" s="1"/>
      <c r="E110" s="19"/>
      <c r="F110" s="19"/>
      <c r="G110" s="2"/>
      <c r="H110" s="3"/>
      <c r="I110" s="4"/>
      <c r="J110" s="4"/>
      <c r="K110" s="4"/>
      <c r="L110" s="1"/>
      <c r="M110" s="24"/>
      <c r="N110" s="25"/>
      <c r="O110" s="2"/>
      <c r="P110" s="7"/>
      <c r="Q110" s="2"/>
      <c r="R110" s="2"/>
      <c r="S110" s="2"/>
      <c r="T110" s="2"/>
      <c r="U110" s="2"/>
      <c r="V110" s="2"/>
      <c r="W110" s="23"/>
      <c r="Y110" s="18"/>
      <c r="Z110" s="1"/>
      <c r="AA110" s="1"/>
      <c r="AB110" s="2"/>
      <c r="AC110" s="3"/>
      <c r="AD110" s="4"/>
      <c r="AE110" s="4"/>
      <c r="AF110" s="24"/>
      <c r="AG110" s="2"/>
      <c r="AH110" s="23"/>
    </row>
    <row r="111" spans="1:34">
      <c r="A111" t="s">
        <v>114</v>
      </c>
      <c r="B111" s="18"/>
      <c r="C111" s="1"/>
      <c r="D111" s="1"/>
      <c r="E111" s="19"/>
      <c r="F111" s="19"/>
      <c r="G111" s="2"/>
      <c r="H111" s="3"/>
      <c r="I111" s="4"/>
      <c r="J111" s="4"/>
      <c r="K111" s="4"/>
      <c r="L111" s="1"/>
      <c r="M111" s="24"/>
      <c r="N111" s="25"/>
      <c r="O111" s="2"/>
      <c r="P111" s="7"/>
      <c r="Q111" s="2"/>
      <c r="R111" s="2"/>
      <c r="S111" s="2"/>
      <c r="T111" s="2"/>
      <c r="U111" s="2"/>
      <c r="V111" s="2"/>
      <c r="W111" s="23"/>
      <c r="Y111" s="18"/>
      <c r="Z111" s="1"/>
      <c r="AA111" s="1"/>
      <c r="AB111" s="2"/>
      <c r="AC111" s="3"/>
      <c r="AD111" s="4"/>
      <c r="AE111" s="4"/>
      <c r="AF111" s="24"/>
      <c r="AG111" s="2"/>
      <c r="AH111" s="23"/>
    </row>
    <row r="112" spans="1:34">
      <c r="A112" t="s">
        <v>114</v>
      </c>
      <c r="B112" s="18"/>
      <c r="C112" s="1"/>
      <c r="D112" s="1"/>
      <c r="E112" s="19"/>
      <c r="F112" s="19"/>
      <c r="G112" s="2"/>
      <c r="H112" s="3"/>
      <c r="I112" s="4"/>
      <c r="J112" s="4"/>
      <c r="K112" s="4"/>
      <c r="L112" s="1"/>
      <c r="M112" s="24"/>
      <c r="N112" s="25"/>
      <c r="O112" s="2"/>
      <c r="P112" s="7"/>
      <c r="Q112" s="2"/>
      <c r="R112" s="2"/>
      <c r="S112" s="2"/>
      <c r="T112" s="2"/>
      <c r="U112" s="2"/>
      <c r="V112" s="2"/>
      <c r="W112" s="23"/>
      <c r="Y112" s="18"/>
      <c r="Z112" s="1"/>
      <c r="AA112" s="1"/>
      <c r="AB112" s="2"/>
      <c r="AC112" s="3"/>
      <c r="AD112" s="4"/>
      <c r="AE112" s="4"/>
      <c r="AF112" s="24"/>
      <c r="AG112" s="2"/>
      <c r="AH112" s="23"/>
    </row>
    <row r="113" spans="1:34">
      <c r="A113" t="s">
        <v>114</v>
      </c>
      <c r="B113" s="18"/>
      <c r="C113" s="1"/>
      <c r="D113" s="1"/>
      <c r="E113" s="19"/>
      <c r="F113" s="19"/>
      <c r="G113" s="2"/>
      <c r="H113" s="3"/>
      <c r="I113" s="4"/>
      <c r="J113" s="4"/>
      <c r="K113" s="4"/>
      <c r="L113" s="1"/>
      <c r="M113" s="24"/>
      <c r="N113" s="25"/>
      <c r="O113" s="2"/>
      <c r="P113" s="7"/>
      <c r="Q113" s="2"/>
      <c r="R113" s="2"/>
      <c r="S113" s="2"/>
      <c r="T113" s="2"/>
      <c r="U113" s="2"/>
      <c r="V113" s="2"/>
      <c r="W113" s="23"/>
      <c r="Y113" s="18"/>
      <c r="Z113" s="1"/>
      <c r="AA113" s="1"/>
      <c r="AB113" s="2"/>
      <c r="AC113" s="3"/>
      <c r="AD113" s="4"/>
      <c r="AE113" s="4"/>
      <c r="AF113" s="24"/>
      <c r="AG113" s="2"/>
      <c r="AH113" s="23"/>
    </row>
    <row r="114" spans="1:34">
      <c r="A114" t="s">
        <v>114</v>
      </c>
      <c r="B114" s="18"/>
      <c r="C114" s="1"/>
      <c r="D114" s="1"/>
      <c r="E114" s="19"/>
      <c r="F114" s="19"/>
      <c r="G114" s="2"/>
      <c r="H114" s="3"/>
      <c r="I114" s="4"/>
      <c r="J114" s="4"/>
      <c r="K114" s="4"/>
      <c r="L114" s="1"/>
      <c r="M114" s="24"/>
      <c r="N114" s="25"/>
      <c r="O114" s="2"/>
      <c r="P114" s="7"/>
      <c r="Q114" s="2"/>
      <c r="R114" s="2"/>
      <c r="S114" s="2"/>
      <c r="T114" s="2"/>
      <c r="U114" s="2"/>
      <c r="V114" s="2"/>
      <c r="W114" s="23"/>
      <c r="Y114" s="18"/>
      <c r="Z114" s="1"/>
      <c r="AA114" s="1"/>
      <c r="AB114" s="2"/>
      <c r="AC114" s="3"/>
      <c r="AD114" s="4"/>
      <c r="AE114" s="4"/>
      <c r="AF114" s="24"/>
      <c r="AG114" s="2"/>
      <c r="AH114" s="23"/>
    </row>
    <row r="115" spans="1:34">
      <c r="A115" t="s">
        <v>114</v>
      </c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1"/>
      <c r="M115" s="24"/>
      <c r="N115" s="25"/>
      <c r="O115" s="2"/>
      <c r="P115" s="26"/>
      <c r="Q115" s="2"/>
      <c r="R115" s="2"/>
      <c r="S115" s="2"/>
      <c r="T115" s="2"/>
      <c r="U115" s="2"/>
      <c r="V115" s="2"/>
      <c r="W115" s="23"/>
      <c r="Y115" s="18"/>
      <c r="Z115" s="1"/>
      <c r="AA115" s="1"/>
      <c r="AB115" s="2"/>
      <c r="AC115" s="3"/>
      <c r="AD115" s="4"/>
      <c r="AE115" s="4"/>
      <c r="AF115" s="24"/>
      <c r="AG115" s="2"/>
      <c r="AH115" s="23"/>
    </row>
    <row r="116" spans="1:34" ht="15.75" thickBot="1">
      <c r="A116" t="s">
        <v>114</v>
      </c>
      <c r="B116" s="27"/>
      <c r="C116" s="28"/>
      <c r="D116" s="28"/>
      <c r="E116" s="29"/>
      <c r="F116" s="29"/>
      <c r="G116" s="30"/>
      <c r="H116" s="31"/>
      <c r="I116" s="32"/>
      <c r="J116" s="32"/>
      <c r="K116" s="32"/>
      <c r="L116" s="28"/>
      <c r="M116" s="33"/>
      <c r="N116" s="36"/>
      <c r="O116" s="30"/>
      <c r="P116" s="34"/>
      <c r="Q116" s="30"/>
      <c r="R116" s="30"/>
      <c r="S116" s="30"/>
      <c r="T116" s="30"/>
      <c r="U116" s="30"/>
      <c r="V116" s="30"/>
      <c r="W116" s="35"/>
      <c r="Y116" s="27"/>
      <c r="Z116" s="28"/>
      <c r="AA116" s="28"/>
      <c r="AB116" s="30"/>
      <c r="AC116" s="31"/>
      <c r="AD116" s="32"/>
      <c r="AE116" s="32"/>
      <c r="AF116" s="33"/>
      <c r="AG116" s="30"/>
      <c r="AH116" s="35"/>
    </row>
    <row r="117" spans="1:34" ht="15.75" thickBot="1">
      <c r="A117" t="s">
        <v>114</v>
      </c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1"/>
      <c r="M117" s="33"/>
      <c r="N117" s="36"/>
      <c r="O117" s="2"/>
      <c r="P117" s="7"/>
      <c r="Q117" s="2"/>
      <c r="R117" s="2"/>
      <c r="S117" s="2"/>
      <c r="T117" s="2"/>
      <c r="U117" s="2"/>
      <c r="V117" s="2"/>
      <c r="W117" s="23"/>
      <c r="Y117" s="18"/>
      <c r="Z117" s="1"/>
      <c r="AA117" s="1"/>
      <c r="AB117" s="2"/>
      <c r="AC117" s="3"/>
      <c r="AD117" s="4"/>
      <c r="AE117" s="4"/>
      <c r="AF117" s="33"/>
      <c r="AG117" s="2"/>
      <c r="AH117" s="23"/>
    </row>
    <row r="118" spans="1:34" ht="15.75" thickBot="1">
      <c r="A118" t="s">
        <v>114</v>
      </c>
      <c r="B118" s="8">
        <f>(M118+T118)/H118</f>
        <v>289.34746211918031</v>
      </c>
      <c r="C118" s="9"/>
      <c r="D118" s="9"/>
      <c r="E118" s="10"/>
      <c r="F118" s="10"/>
      <c r="G118" s="84">
        <f>H118/H119</f>
        <v>0.6331237116072217</v>
      </c>
      <c r="H118" s="11">
        <f>SUM(H54:H117)</f>
        <v>21535.553</v>
      </c>
      <c r="I118" s="12"/>
      <c r="J118" s="12"/>
      <c r="K118" s="12"/>
      <c r="L118" s="9"/>
      <c r="M118" s="37">
        <f>SUM(M54:M117)</f>
        <v>6231257.6058831001</v>
      </c>
      <c r="N118" s="38">
        <f>SUM(N54:N117)</f>
        <v>4223050</v>
      </c>
      <c r="O118" s="10"/>
      <c r="P118" s="39"/>
      <c r="Q118" s="10" t="e">
        <f>SUM(#REF!)</f>
        <v>#REF!</v>
      </c>
      <c r="R118" s="10"/>
      <c r="S118" s="10"/>
      <c r="T118" s="10">
        <f>SUM(T54:T117)</f>
        <v>0</v>
      </c>
      <c r="U118" s="10"/>
      <c r="V118" s="10"/>
      <c r="W118" s="17"/>
      <c r="Y118" s="8"/>
      <c r="Z118" s="9"/>
      <c r="AA118" s="9"/>
      <c r="AB118" s="10"/>
      <c r="AC118" s="11">
        <f>SUM(AC54:AC117)</f>
        <v>0</v>
      </c>
      <c r="AD118" s="12"/>
      <c r="AE118" s="12"/>
      <c r="AF118" s="37">
        <f>SUM(AF54:AF117)</f>
        <v>0</v>
      </c>
      <c r="AG118" s="10"/>
      <c r="AH118" s="17"/>
    </row>
    <row r="119" spans="1:34">
      <c r="A119" t="s">
        <v>56</v>
      </c>
      <c r="H119" s="83">
        <f>H49+H118</f>
        <v>34014.763000000006</v>
      </c>
    </row>
    <row r="120" spans="1:34">
      <c r="A120" t="s">
        <v>56</v>
      </c>
      <c r="B120" s="147" t="s">
        <v>109</v>
      </c>
      <c r="C120" s="147"/>
      <c r="H120" s="109"/>
      <c r="Y120" s="147" t="s">
        <v>39</v>
      </c>
      <c r="Z120" s="147"/>
    </row>
    <row r="121" spans="1:34" ht="15.75" thickBot="1">
      <c r="A121" t="s">
        <v>56</v>
      </c>
      <c r="B121" s="148" t="s">
        <v>108</v>
      </c>
      <c r="C121" s="148"/>
      <c r="H121" s="109"/>
      <c r="Y121" s="148" t="s">
        <v>34</v>
      </c>
      <c r="Z121" s="148"/>
      <c r="AA121" s="1"/>
      <c r="AB121" s="2"/>
      <c r="AC121" s="3"/>
      <c r="AD121" s="4"/>
      <c r="AE121" s="4"/>
      <c r="AF121" s="5"/>
      <c r="AG121" s="2"/>
      <c r="AH121" s="1"/>
    </row>
    <row r="122" spans="1:34" ht="15.75" thickBot="1">
      <c r="A122" t="s">
        <v>56</v>
      </c>
      <c r="B122" s="8" t="s">
        <v>0</v>
      </c>
      <c r="C122" s="9" t="s">
        <v>1</v>
      </c>
      <c r="D122" s="9" t="s">
        <v>2</v>
      </c>
      <c r="E122" s="10" t="s">
        <v>3</v>
      </c>
      <c r="F122" s="10" t="s">
        <v>4</v>
      </c>
      <c r="G122" s="10" t="s">
        <v>5</v>
      </c>
      <c r="H122" s="11" t="s">
        <v>6</v>
      </c>
      <c r="I122" s="12" t="s">
        <v>7</v>
      </c>
      <c r="J122" s="12" t="s">
        <v>112</v>
      </c>
      <c r="K122" s="12" t="s">
        <v>8</v>
      </c>
      <c r="L122" s="9" t="s">
        <v>9</v>
      </c>
      <c r="M122" s="13" t="s">
        <v>10</v>
      </c>
      <c r="N122" s="14" t="s">
        <v>11</v>
      </c>
      <c r="O122" s="15"/>
      <c r="P122" s="16" t="s">
        <v>12</v>
      </c>
      <c r="Q122" s="15" t="s">
        <v>13</v>
      </c>
      <c r="R122" s="15" t="s">
        <v>14</v>
      </c>
      <c r="S122" s="10" t="s">
        <v>15</v>
      </c>
      <c r="T122" s="15" t="s">
        <v>16</v>
      </c>
      <c r="U122" s="10"/>
      <c r="V122" s="10" t="s">
        <v>17</v>
      </c>
      <c r="W122" s="17" t="s">
        <v>18</v>
      </c>
      <c r="Y122" s="8" t="s">
        <v>0</v>
      </c>
      <c r="Z122" s="9" t="s">
        <v>1</v>
      </c>
      <c r="AA122" s="9" t="s">
        <v>2</v>
      </c>
      <c r="AB122" s="10" t="s">
        <v>5</v>
      </c>
      <c r="AC122" s="11" t="s">
        <v>6</v>
      </c>
      <c r="AD122" s="12" t="s">
        <v>7</v>
      </c>
      <c r="AE122" s="12" t="s">
        <v>8</v>
      </c>
      <c r="AF122" s="13" t="s">
        <v>10</v>
      </c>
      <c r="AG122" s="15"/>
      <c r="AH122" s="17" t="s">
        <v>18</v>
      </c>
    </row>
    <row r="123" spans="1:34">
      <c r="A123" t="s">
        <v>56</v>
      </c>
      <c r="B123" s="18">
        <v>1</v>
      </c>
      <c r="C123" s="1"/>
      <c r="D123" s="1"/>
      <c r="E123" s="19"/>
      <c r="F123" s="19"/>
      <c r="G123" s="79"/>
      <c r="H123" s="78"/>
      <c r="I123" s="120"/>
      <c r="J123" s="4">
        <f>H123*I123</f>
        <v>0</v>
      </c>
      <c r="K123" s="4">
        <f>I123</f>
        <v>0</v>
      </c>
      <c r="L123" s="1">
        <f t="shared" ref="L123" si="40">D123+15</f>
        <v>15</v>
      </c>
      <c r="M123" s="21">
        <f t="shared" ref="M123" si="41">H123*K123</f>
        <v>0</v>
      </c>
      <c r="N123" s="22"/>
      <c r="O123" s="2"/>
      <c r="P123" s="7"/>
      <c r="Q123" s="2"/>
      <c r="R123" s="2"/>
      <c r="S123" s="2"/>
      <c r="T123" s="2"/>
      <c r="U123" s="2"/>
      <c r="V123" s="2"/>
      <c r="W123" s="23"/>
      <c r="Y123" s="18">
        <v>1</v>
      </c>
      <c r="Z123" s="1"/>
      <c r="AA123" s="1"/>
      <c r="AB123" s="2"/>
      <c r="AC123" s="20"/>
      <c r="AD123" s="4"/>
      <c r="AE123" s="4"/>
      <c r="AF123" s="21"/>
      <c r="AG123" s="2"/>
      <c r="AH123" s="23"/>
    </row>
    <row r="124" spans="1:34">
      <c r="A124" t="s">
        <v>56</v>
      </c>
      <c r="B124" s="18"/>
      <c r="C124" s="1"/>
      <c r="D124" s="1"/>
      <c r="E124" s="19"/>
      <c r="F124" s="19"/>
      <c r="G124" s="2"/>
      <c r="H124" s="3"/>
      <c r="I124" s="4"/>
      <c r="J124" s="4"/>
      <c r="K124" s="4"/>
      <c r="L124" s="1"/>
      <c r="M124" s="24"/>
      <c r="N124" s="25"/>
      <c r="O124" s="2"/>
      <c r="P124" s="7"/>
      <c r="Q124" s="2"/>
      <c r="R124" s="2"/>
      <c r="S124" s="2"/>
      <c r="T124" s="2"/>
      <c r="U124" s="2"/>
      <c r="V124" s="2"/>
      <c r="W124" s="23"/>
      <c r="Y124" s="18"/>
      <c r="Z124" s="1"/>
      <c r="AA124" s="1"/>
      <c r="AB124" s="2"/>
      <c r="AC124" s="3"/>
      <c r="AD124" s="4"/>
      <c r="AE124" s="4"/>
      <c r="AF124" s="24"/>
      <c r="AG124" s="2"/>
      <c r="AH124" s="23"/>
    </row>
    <row r="125" spans="1:34">
      <c r="A125" t="s">
        <v>56</v>
      </c>
      <c r="B125" s="18"/>
      <c r="C125" s="1"/>
      <c r="D125" s="1"/>
      <c r="E125" s="19"/>
      <c r="F125" s="19"/>
      <c r="G125" s="2"/>
      <c r="H125" s="3"/>
      <c r="I125" s="4"/>
      <c r="J125" s="4"/>
      <c r="K125" s="4"/>
      <c r="L125" s="1"/>
      <c r="M125" s="24"/>
      <c r="N125" s="25"/>
      <c r="O125" s="2"/>
      <c r="P125" s="7"/>
      <c r="Q125" s="2"/>
      <c r="R125" s="2"/>
      <c r="S125" s="2"/>
      <c r="T125" s="2"/>
      <c r="U125" s="2"/>
      <c r="V125" s="2"/>
      <c r="W125" s="23"/>
      <c r="Y125" s="18"/>
      <c r="Z125" s="1"/>
      <c r="AA125" s="1"/>
      <c r="AB125" s="2"/>
      <c r="AC125" s="3"/>
      <c r="AD125" s="4"/>
      <c r="AE125" s="4"/>
      <c r="AF125" s="24"/>
      <c r="AG125" s="2"/>
      <c r="AH125" s="23"/>
    </row>
    <row r="126" spans="1:34">
      <c r="A126" t="s">
        <v>56</v>
      </c>
      <c r="B126" s="18"/>
      <c r="C126" s="1"/>
      <c r="D126" s="1"/>
      <c r="E126" s="19"/>
      <c r="F126" s="19"/>
      <c r="G126" s="2"/>
      <c r="H126" s="3"/>
      <c r="I126" s="4"/>
      <c r="J126" s="4"/>
      <c r="K126" s="4"/>
      <c r="L126" s="1"/>
      <c r="M126" s="24"/>
      <c r="N126" s="25"/>
      <c r="O126" s="2"/>
      <c r="P126" s="7"/>
      <c r="Q126" s="2"/>
      <c r="R126" s="2"/>
      <c r="S126" s="2"/>
      <c r="T126" s="2"/>
      <c r="U126" s="2"/>
      <c r="V126" s="2"/>
      <c r="W126" s="23"/>
      <c r="Y126" s="18"/>
      <c r="Z126" s="1"/>
      <c r="AA126" s="1"/>
      <c r="AB126" s="2"/>
      <c r="AC126" s="3"/>
      <c r="AD126" s="4"/>
      <c r="AE126" s="4"/>
      <c r="AF126" s="24"/>
      <c r="AG126" s="2"/>
      <c r="AH126" s="23"/>
    </row>
    <row r="127" spans="1:34">
      <c r="A127" t="s">
        <v>56</v>
      </c>
      <c r="B127" s="18"/>
      <c r="C127" s="1"/>
      <c r="D127" s="1"/>
      <c r="E127" s="19"/>
      <c r="F127" s="19"/>
      <c r="G127" s="2"/>
      <c r="H127" s="3"/>
      <c r="I127" s="4"/>
      <c r="J127" s="4"/>
      <c r="K127" s="4"/>
      <c r="L127" s="1"/>
      <c r="M127" s="24"/>
      <c r="N127" s="25"/>
      <c r="O127" s="2"/>
      <c r="P127" s="7"/>
      <c r="Q127" s="2"/>
      <c r="R127" s="2"/>
      <c r="S127" s="2"/>
      <c r="T127" s="2"/>
      <c r="U127" s="2"/>
      <c r="V127" s="2"/>
      <c r="W127" s="23"/>
      <c r="Y127" s="18"/>
      <c r="Z127" s="1"/>
      <c r="AA127" s="1"/>
      <c r="AB127" s="2"/>
      <c r="AC127" s="3"/>
      <c r="AD127" s="4"/>
      <c r="AE127" s="4"/>
      <c r="AF127" s="24"/>
      <c r="AG127" s="2"/>
      <c r="AH127" s="23"/>
    </row>
    <row r="128" spans="1:34">
      <c r="A128" t="s">
        <v>56</v>
      </c>
      <c r="B128" s="18"/>
      <c r="C128" s="1"/>
      <c r="D128" s="1"/>
      <c r="E128" s="19"/>
      <c r="F128" s="19"/>
      <c r="G128" s="2"/>
      <c r="H128" s="3"/>
      <c r="I128" s="4"/>
      <c r="J128" s="4"/>
      <c r="K128" s="4"/>
      <c r="L128" s="1"/>
      <c r="M128" s="24"/>
      <c r="N128" s="25"/>
      <c r="O128" s="2"/>
      <c r="P128" s="7"/>
      <c r="Q128" s="2"/>
      <c r="R128" s="2"/>
      <c r="S128" s="2"/>
      <c r="T128" s="2"/>
      <c r="U128" s="2"/>
      <c r="V128" s="2"/>
      <c r="W128" s="23"/>
      <c r="Y128" s="18"/>
      <c r="Z128" s="1"/>
      <c r="AA128" s="1"/>
      <c r="AB128" s="2"/>
      <c r="AC128" s="3"/>
      <c r="AD128" s="4"/>
      <c r="AE128" s="4"/>
      <c r="AF128" s="24"/>
      <c r="AG128" s="2"/>
      <c r="AH128" s="23"/>
    </row>
    <row r="129" spans="1:34">
      <c r="A129" t="s">
        <v>56</v>
      </c>
      <c r="B129" s="18"/>
      <c r="C129" s="1"/>
      <c r="D129" s="1"/>
      <c r="E129" s="19"/>
      <c r="F129" s="19"/>
      <c r="G129" s="2"/>
      <c r="H129" s="3"/>
      <c r="I129" s="4"/>
      <c r="J129" s="4"/>
      <c r="K129" s="4"/>
      <c r="L129" s="1"/>
      <c r="M129" s="24"/>
      <c r="N129" s="25"/>
      <c r="O129" s="2"/>
      <c r="P129" s="7"/>
      <c r="Q129" s="2"/>
      <c r="R129" s="2"/>
      <c r="S129" s="2"/>
      <c r="T129" s="2"/>
      <c r="U129" s="2"/>
      <c r="V129" s="2"/>
      <c r="W129" s="23"/>
      <c r="Y129" s="18"/>
      <c r="Z129" s="1"/>
      <c r="AA129" s="1"/>
      <c r="AB129" s="2"/>
      <c r="AC129" s="3"/>
      <c r="AD129" s="4"/>
      <c r="AE129" s="4"/>
      <c r="AF129" s="24"/>
      <c r="AG129" s="2"/>
      <c r="AH129" s="23"/>
    </row>
    <row r="130" spans="1:34" ht="15.75" thickBot="1">
      <c r="A130" t="s">
        <v>56</v>
      </c>
      <c r="B130" s="27"/>
      <c r="C130" s="28"/>
      <c r="D130" s="28"/>
      <c r="E130" s="29"/>
      <c r="F130" s="29"/>
      <c r="G130" s="30"/>
      <c r="H130" s="31"/>
      <c r="I130" s="32"/>
      <c r="J130" s="32"/>
      <c r="K130" s="32"/>
      <c r="L130" s="28"/>
      <c r="M130" s="33"/>
      <c r="N130" s="36"/>
      <c r="O130" s="30"/>
      <c r="P130" s="34"/>
      <c r="Q130" s="30"/>
      <c r="R130" s="30"/>
      <c r="S130" s="30"/>
      <c r="T130" s="30"/>
      <c r="U130" s="30"/>
      <c r="V130" s="30"/>
      <c r="W130" s="35"/>
      <c r="Y130" s="27"/>
      <c r="Z130" s="28"/>
      <c r="AA130" s="28"/>
      <c r="AB130" s="30"/>
      <c r="AC130" s="31"/>
      <c r="AD130" s="32"/>
      <c r="AE130" s="32"/>
      <c r="AF130" s="33"/>
      <c r="AG130" s="30"/>
      <c r="AH130" s="35"/>
    </row>
    <row r="131" spans="1:34" ht="15.75" thickBot="1">
      <c r="A131" t="s">
        <v>56</v>
      </c>
      <c r="B131" s="18"/>
      <c r="C131" s="1"/>
      <c r="D131" s="1"/>
      <c r="E131" s="2"/>
      <c r="F131" s="2"/>
      <c r="G131" s="2"/>
      <c r="H131" s="3"/>
      <c r="I131" s="4"/>
      <c r="J131" s="4"/>
      <c r="K131" s="4"/>
      <c r="L131" s="1"/>
      <c r="M131" s="33"/>
      <c r="N131" s="36"/>
      <c r="O131" s="2"/>
      <c r="P131" s="7"/>
      <c r="Q131" s="2"/>
      <c r="R131" s="2"/>
      <c r="S131" s="2"/>
      <c r="T131" s="2"/>
      <c r="U131" s="2"/>
      <c r="V131" s="2"/>
      <c r="W131" s="23"/>
      <c r="Y131" s="18"/>
      <c r="Z131" s="1"/>
      <c r="AA131" s="1"/>
      <c r="AB131" s="2"/>
      <c r="AC131" s="3"/>
      <c r="AD131" s="4"/>
      <c r="AE131" s="4"/>
      <c r="AF131" s="33"/>
      <c r="AG131" s="2"/>
      <c r="AH131" s="23"/>
    </row>
    <row r="132" spans="1:34" ht="15.75" thickBot="1">
      <c r="A132" t="s">
        <v>56</v>
      </c>
      <c r="B132" s="8" t="e">
        <f>(M132+T132)/H132</f>
        <v>#DIV/0!</v>
      </c>
      <c r="C132" s="9"/>
      <c r="D132" s="9"/>
      <c r="E132" s="10"/>
      <c r="F132" s="10"/>
      <c r="G132" s="10"/>
      <c r="H132" s="11">
        <f>SUM(H123:H131)</f>
        <v>0</v>
      </c>
      <c r="I132" s="12"/>
      <c r="J132" s="12"/>
      <c r="K132" s="12"/>
      <c r="L132" s="9"/>
      <c r="M132" s="37">
        <f>SUM(M123:M131)</f>
        <v>0</v>
      </c>
      <c r="N132" s="38">
        <f>SUM(N123:N131)</f>
        <v>0</v>
      </c>
      <c r="O132" s="10"/>
      <c r="P132" s="39"/>
      <c r="Q132" s="10" t="e">
        <f>SUM(#REF!)</f>
        <v>#REF!</v>
      </c>
      <c r="R132" s="10"/>
      <c r="S132" s="10"/>
      <c r="T132" s="10">
        <f>SUM(T123:T131)</f>
        <v>0</v>
      </c>
      <c r="U132" s="10"/>
      <c r="V132" s="10"/>
      <c r="W132" s="17"/>
      <c r="Y132" s="8"/>
      <c r="Z132" s="9"/>
      <c r="AA132" s="9"/>
      <c r="AB132" s="10"/>
      <c r="AC132" s="11">
        <f>SUM(AC123:AC131)</f>
        <v>0</v>
      </c>
      <c r="AD132" s="12"/>
      <c r="AE132" s="12"/>
      <c r="AF132" s="37">
        <f>SUM(AF123:AF131)</f>
        <v>0</v>
      </c>
      <c r="AG132" s="10"/>
      <c r="AH132" s="17"/>
    </row>
    <row r="133" spans="1:34">
      <c r="H133" s="109"/>
    </row>
    <row r="134" spans="1:34" ht="15.75" thickBot="1">
      <c r="H134" s="109"/>
    </row>
    <row r="135" spans="1:34" ht="15.75" thickBot="1">
      <c r="A135" s="67"/>
      <c r="B135" s="68"/>
      <c r="C135" s="68"/>
      <c r="D135" s="68"/>
      <c r="E135" s="68"/>
      <c r="F135" s="68"/>
      <c r="G135" s="68"/>
      <c r="H135" s="12">
        <f>SUBTOTAL(9,H5:H48)+SUBTOTAL(9,H54:H117)+SUBTOTAL(9,H123:H130)</f>
        <v>34014.763000000006</v>
      </c>
      <c r="I135" s="12">
        <f>J135/H135</f>
        <v>271.82960129644289</v>
      </c>
      <c r="J135" s="12">
        <f>SUBTOTAL(9,J5:J48)+SUBTOTAL(9,J54:J117)+SUBTOTAL(9,J123:J130)</f>
        <v>9246219.4644829985</v>
      </c>
      <c r="K135" s="68"/>
      <c r="L135" s="68"/>
      <c r="M135" s="70">
        <f>SUM(M49+M118+M132)</f>
        <v>9708530.4377071504</v>
      </c>
      <c r="N135" s="68"/>
      <c r="O135" s="68"/>
      <c r="P135" s="68"/>
      <c r="Q135" s="68"/>
      <c r="R135" s="68"/>
      <c r="S135" s="68"/>
      <c r="T135" s="68"/>
      <c r="U135" s="68"/>
      <c r="V135" s="68"/>
      <c r="W135" s="69"/>
    </row>
  </sheetData>
  <autoFilter ref="A2:AH132">
    <filterColumn colId="1" showButton="0"/>
    <filterColumn colId="4"/>
    <filterColumn colId="6"/>
    <filterColumn colId="24" showButton="0"/>
  </autoFilter>
  <mergeCells count="12">
    <mergeCell ref="B52:C52"/>
    <mergeCell ref="Y52:Z52"/>
    <mergeCell ref="B120:C120"/>
    <mergeCell ref="Y120:Z120"/>
    <mergeCell ref="B121:C121"/>
    <mergeCell ref="Y121:Z121"/>
    <mergeCell ref="B2:C2"/>
    <mergeCell ref="Y2:Z2"/>
    <mergeCell ref="B3:C3"/>
    <mergeCell ref="Y3:Z3"/>
    <mergeCell ref="B51:C51"/>
    <mergeCell ref="Y51:Z5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1" sqref="H3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25-26</vt:lpstr>
      <vt:lpstr>25-26 JW</vt:lpstr>
      <vt:lpstr>SHEET</vt:lpstr>
      <vt:lpstr>26-27</vt:lpstr>
      <vt:lpstr>26-27 JW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Khunt</dc:creator>
  <cp:lastModifiedBy>Avi Khunt</cp:lastModifiedBy>
  <dcterms:created xsi:type="dcterms:W3CDTF">2025-06-28T07:19:40Z</dcterms:created>
  <dcterms:modified xsi:type="dcterms:W3CDTF">2026-06-17T10:24:44Z</dcterms:modified>
</cp:coreProperties>
</file>